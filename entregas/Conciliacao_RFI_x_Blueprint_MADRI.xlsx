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Itens" sheetId="2" state="visible" r:id="rId4"/>
    <sheet name="Leg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Fonte: RFI MADRI (base oficial de 908 requisitos), conforme o painel de conciliação v5.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Campo livre da equipe. Escreva aqui a descrição/análise do item.</t>
        </r>
      </text>
    </comment>
  </commentList>
</comments>
</file>

<file path=xl/sharedStrings.xml><?xml version="1.0" encoding="utf-8"?>
<sst xmlns="http://schemas.openxmlformats.org/spreadsheetml/2006/main" count="1343" uniqueCount="383">
  <si>
    <t xml:space="preserve">RFI × Blueprint · Comparação por módulo</t>
  </si>
  <si>
    <t xml:space="preserve">Base oficial · 908 requisitos (793 NUCCI + 115 RH Benner). Números em azul vêm da RFI/Blueprint; os demais são fórmulas.</t>
  </si>
  <si>
    <t xml:space="preserve">RFI</t>
  </si>
  <si>
    <t xml:space="preserve">Blueprint</t>
  </si>
  <si>
    <t xml:space="preserve">Fora da aderência NUCCI</t>
  </si>
  <si>
    <t xml:space="preserve">Módulo</t>
  </si>
  <si>
    <t xml:space="preserve">Req.</t>
  </si>
  <si>
    <t xml:space="preserve">Entregue
(Total + Parcial 70%)</t>
  </si>
  <si>
    <t xml:space="preserve">Aderência</t>
  </si>
  <si>
    <t xml:space="preserve">Entrega
(Total + Parcial 70%)</t>
  </si>
  <si>
    <t xml:space="preserve">Parcial
(50% e 30%)</t>
  </si>
  <si>
    <t xml:space="preserve">Não atende
(RFI 0%)</t>
  </si>
  <si>
    <t xml:space="preserve">Benner
(RH · fora NUCCI)</t>
  </si>
  <si>
    <t xml:space="preserve">Novos
(fora da RFI)</t>
  </si>
  <si>
    <t xml:space="preserve">Itens com descrição</t>
  </si>
  <si>
    <t xml:space="preserve">Comercial</t>
  </si>
  <si>
    <t xml:space="preserve">Emissão</t>
  </si>
  <si>
    <t xml:space="preserve">Faturamento</t>
  </si>
  <si>
    <t xml:space="preserve">Financeiro</t>
  </si>
  <si>
    <t xml:space="preserve">Contabilidade</t>
  </si>
  <si>
    <t xml:space="preserve">Compras</t>
  </si>
  <si>
    <t xml:space="preserve">Estoque</t>
  </si>
  <si>
    <t xml:space="preserve">Corporativo</t>
  </si>
  <si>
    <t xml:space="preserve">Frota</t>
  </si>
  <si>
    <t xml:space="preserve">Oficina</t>
  </si>
  <si>
    <t xml:space="preserve">Total NUCCI</t>
  </si>
  <si>
    <t xml:space="preserve">Recursos Humanos (Benner)</t>
  </si>
  <si>
    <t xml:space="preserve">–</t>
  </si>
  <si>
    <t xml:space="preserve">Total RFI (NUCCI + Benner)</t>
  </si>
  <si>
    <t xml:space="preserve">Fechamento</t>
  </si>
  <si>
    <t xml:space="preserve">Novos: 2 itens de WMS entram na contagem, mas o WMS não faz parte desta primeira fase.</t>
  </si>
  <si>
    <t xml:space="preserve">Andamento das descrições</t>
  </si>
  <si>
    <t xml:space="preserve">Status</t>
  </si>
  <si>
    <t xml:space="preserve">Itens</t>
  </si>
  <si>
    <t xml:space="preserve">% do total</t>
  </si>
  <si>
    <t xml:space="preserve">Pendente</t>
  </si>
  <si>
    <t xml:space="preserve">Em análise</t>
  </si>
  <si>
    <t xml:space="preserve">Validado</t>
  </si>
  <si>
    <t xml:space="preserve">Descartado</t>
  </si>
  <si>
    <t xml:space="preserve">Total de itens</t>
  </si>
  <si>
    <t xml:space="preserve">Abertura dos itens · RFI × Blueprint</t>
  </si>
  <si>
    <t xml:space="preserve">Implantação NUCCI ERP · MADRI · Governança Instituto Államo — preencha as colunas amarelas (Descrição da equipe, Responsável, Data, Status).</t>
  </si>
  <si>
    <t xml:space="preserve">Item</t>
  </si>
  <si>
    <t xml:space="preserve">Categoria</t>
  </si>
  <si>
    <t xml:space="preserve">Agrupamento</t>
  </si>
  <si>
    <t xml:space="preserve">Processo / Seção</t>
  </si>
  <si>
    <t xml:space="preserve">Requisito / Descrição do gap</t>
  </si>
  <si>
    <t xml:space="preserve">Sem seção no Blueprint</t>
  </si>
  <si>
    <t xml:space="preserve">Forma de atendimento</t>
  </si>
  <si>
    <t xml:space="preserve">Criticidade</t>
  </si>
  <si>
    <t xml:space="preserve">WMS</t>
  </si>
  <si>
    <t xml:space="preserve">Solução proposta (Blueprint 5.1)</t>
  </si>
  <si>
    <t xml:space="preserve">Observação</t>
  </si>
  <si>
    <t xml:space="preserve">Descrição da equipe</t>
  </si>
  <si>
    <t xml:space="preserve">Responsável</t>
  </si>
  <si>
    <t xml:space="preserve">Data</t>
  </si>
  <si>
    <t xml:space="preserve">L189</t>
  </si>
  <si>
    <t xml:space="preserve">Parcial</t>
  </si>
  <si>
    <t xml:space="preserve">Módulo de Compras (Suprimentos)</t>
  </si>
  <si>
    <t xml:space="preserve">4.4.12.12 Processo Solicitação de Compras</t>
  </si>
  <si>
    <t xml:space="preserve">Programar o recebimento de Materiais</t>
  </si>
  <si>
    <t xml:space="preserve">Parcial 30%</t>
  </si>
  <si>
    <t xml:space="preserve">Não</t>
  </si>
  <si>
    <t xml:space="preserve">Customizável</t>
  </si>
  <si>
    <t xml:space="preserve">texto</t>
  </si>
  <si>
    <t xml:space="preserve">L193</t>
  </si>
  <si>
    <t xml:space="preserve">Permitir bloqueios automáticos de reposição de Produtos ou Grupos de Produtos sem disponibilidade Orçamentária / Financeira / Aprovação por alçada</t>
  </si>
  <si>
    <t xml:space="preserve">L212</t>
  </si>
  <si>
    <t xml:space="preserve">4.4.12.12 Processo Solicitação de Compras (tema previsto; requisito não detalhado)</t>
  </si>
  <si>
    <t xml:space="preserve">Manter um "FollowUp" das OCS Ordens de Compra junto aos Fornecedores, com a possibilidade de consulta dos Emails enviados e sem resposta do Fornecedor</t>
  </si>
  <si>
    <t xml:space="preserve">L217</t>
  </si>
  <si>
    <t xml:space="preserve">4.4.12.15 Processo Pedido de Compra</t>
  </si>
  <si>
    <t xml:space="preserve">Manter Tabela de Preços por Fornecedor e Produto</t>
  </si>
  <si>
    <t xml:space="preserve">Parcial 50%</t>
  </si>
  <si>
    <t xml:space="preserve">L218</t>
  </si>
  <si>
    <t xml:space="preserve">Permitir fórmulas de reajuste de Preços contratados (Valores, Percentuais, ...)</t>
  </si>
  <si>
    <t xml:space="preserve">L232</t>
  </si>
  <si>
    <t xml:space="preserve">4.4.12.13 Processo Orçamento</t>
  </si>
  <si>
    <t xml:space="preserve">Controlar Contratos vinculados e subcontratações</t>
  </si>
  <si>
    <t xml:space="preserve">L234</t>
  </si>
  <si>
    <t xml:space="preserve">Permitir alterações nos Contratos</t>
  </si>
  <si>
    <t xml:space="preserve">L268</t>
  </si>
  <si>
    <t xml:space="preserve">4.4.12.16 Processo Pedido de Compras: Confirmação; 4.4.12.4 Cadastro Fornecedor/Grupo de Produtos/Serviço</t>
  </si>
  <si>
    <t xml:space="preserve">Gerar Demonstrativos por Comprador e com informações sobre “Lead Time” (para a área requisitante), Qualidade do Produto recebido, Preço e divergências na documentação na Avaliação do Comprador</t>
  </si>
  <si>
    <t xml:space="preserve">L269</t>
  </si>
  <si>
    <t xml:space="preserve">4.4.12.4 Cadastro Fornecedor/Grupo de Produtos/Serviço; 4.4.12.7 Cadastro Produtos/Serviços</t>
  </si>
  <si>
    <t xml:space="preserve">Manter registro do responsável e o(s) motivo(s) da desativação de Grupos de Produtos, Produtos ou Materiais</t>
  </si>
  <si>
    <t xml:space="preserve">L280</t>
  </si>
  <si>
    <t xml:space="preserve">Disponibilizar Relatórios de Controle de Metas (Compras x Receitas) considerando a Quantidade de Compras, agrupando por Tipos de Compra (Geral, Material de Consumo, Produtos, Serviços, ...)</t>
  </si>
  <si>
    <t xml:space="preserve">L287</t>
  </si>
  <si>
    <t xml:space="preserve">Permitir e controlar projeções de compras baseadas no orçamento</t>
  </si>
  <si>
    <t xml:space="preserve">L317</t>
  </si>
  <si>
    <t xml:space="preserve">4.4.6.17 DRE (tema previsto; requisito não detalhado)</t>
  </si>
  <si>
    <t xml:space="preserve">Permitir criar visões gerencias por perfil de acesso [usuário]</t>
  </si>
  <si>
    <t xml:space="preserve">Software de terceiro</t>
  </si>
  <si>
    <t xml:space="preserve">L318</t>
  </si>
  <si>
    <t xml:space="preserve">4.4.6.17 DRE</t>
  </si>
  <si>
    <t xml:space="preserve">Permitir visão Drill Down da conta [leitura sub-nível]</t>
  </si>
  <si>
    <t xml:space="preserve">L395</t>
  </si>
  <si>
    <t xml:space="preserve">Ativos Fixos</t>
  </si>
  <si>
    <t xml:space="preserve">4.4.10.1 Ativo</t>
  </si>
  <si>
    <t xml:space="preserve">Possibilitar o cadastro dos ativos por centro de custo</t>
  </si>
  <si>
    <t xml:space="preserve">L396</t>
  </si>
  <si>
    <t xml:space="preserve">Possibilitar a transferência/reclassificação de um ativo de um centro de custo para outro</t>
  </si>
  <si>
    <t xml:space="preserve">L397</t>
  </si>
  <si>
    <t xml:space="preserve">Possibilitar a transferência/reclassificação de um ativo entre filiais com emissão de nota fiscal</t>
  </si>
  <si>
    <t xml:space="preserve">L398</t>
  </si>
  <si>
    <t xml:space="preserve">Controle de patrimônio (bem de pequeno valor)</t>
  </si>
  <si>
    <t xml:space="preserve">L399</t>
  </si>
  <si>
    <t xml:space="preserve">Controle de código das plaquetas</t>
  </si>
  <si>
    <t xml:space="preserve">L400</t>
  </si>
  <si>
    <t xml:space="preserve">4.4.10.1 Ativo; 4.4.8.6 Depreciação</t>
  </si>
  <si>
    <t xml:space="preserve">Controle de itens disponíveis para venda (para de depreciar) / Bloquear emissão de CTE de ativos disponíveis para venda</t>
  </si>
  <si>
    <t xml:space="preserve">L401</t>
  </si>
  <si>
    <t xml:space="preserve">Possibilidade de estornos e/ou alteração dos movimentos de baixa</t>
  </si>
  <si>
    <t xml:space="preserve">L402</t>
  </si>
  <si>
    <t xml:space="preserve">Possibilidade de alterações nas rotinas de depreciação</t>
  </si>
  <si>
    <t xml:space="preserve">L403</t>
  </si>
  <si>
    <t xml:space="preserve">Opções de baixa por: Venda, sinistro, brinde, doação, danificação, ...</t>
  </si>
  <si>
    <t xml:space="preserve">L405</t>
  </si>
  <si>
    <t xml:space="preserve">Relatórios de depreciação de veículos e equipamentos de transporte, considerando o modelo de depreciação acelerada ou normal para transporte</t>
  </si>
  <si>
    <t xml:space="preserve">L406</t>
  </si>
  <si>
    <t xml:space="preserve">4.4.10.2 Depreciação</t>
  </si>
  <si>
    <t xml:space="preserve">Permitir rotina de depreciação societária</t>
  </si>
  <si>
    <t xml:space="preserve">L407</t>
  </si>
  <si>
    <t xml:space="preserve">Permitir rotina de aplicação do CPC-06 ( AVP )</t>
  </si>
  <si>
    <t xml:space="preserve">L408</t>
  </si>
  <si>
    <t xml:space="preserve">Depreciação societária dos ativos</t>
  </si>
  <si>
    <t xml:space="preserve">L409</t>
  </si>
  <si>
    <t xml:space="preserve">Rotina de depreciação fiscal conforme receita federal</t>
  </si>
  <si>
    <t xml:space="preserve">L410</t>
  </si>
  <si>
    <t xml:space="preserve">Rotina de leasing conforme CPC 06</t>
  </si>
  <si>
    <t xml:space="preserve">L411</t>
  </si>
  <si>
    <t xml:space="preserve">4.4.10.2 Depreciação (tema previsto; requisito não detalhado)</t>
  </si>
  <si>
    <t xml:space="preserve">Relatório de depreciação por centro de custo, comparando mês a mês</t>
  </si>
  <si>
    <t xml:space="preserve">L414</t>
  </si>
  <si>
    <t xml:space="preserve">4.4.7.9 Apuração de Impostos</t>
  </si>
  <si>
    <t xml:space="preserve">Relatórios de controle de ICMS sobre o ativo fixo de transporte, com apuração de créditos de ICMS sobre veículos e peças utilizadas.</t>
  </si>
  <si>
    <t xml:space="preserve">L415</t>
  </si>
  <si>
    <t xml:space="preserve">4.4.7.9 Apuração de Impostos; 4.4.7.8 Obrigações Fiscais</t>
  </si>
  <si>
    <t xml:space="preserve">Permtir rotina de controle do Bloco G</t>
  </si>
  <si>
    <t xml:space="preserve">L416</t>
  </si>
  <si>
    <t xml:space="preserve">Rotina de cálculo CIAP (Bloco G)</t>
  </si>
  <si>
    <t xml:space="preserve">L419</t>
  </si>
  <si>
    <t xml:space="preserve">Rotina de geração de PIS/Cofins sob depreciação</t>
  </si>
  <si>
    <t xml:space="preserve">L421</t>
  </si>
  <si>
    <t xml:space="preserve">Permitir apuração do ganho de capital pelo valor residual na baixa de ativos</t>
  </si>
  <si>
    <t xml:space="preserve">L452</t>
  </si>
  <si>
    <t xml:space="preserve">Planejamento Orçamentário</t>
  </si>
  <si>
    <t xml:space="preserve">4.4.6.8 Cadastro Metas</t>
  </si>
  <si>
    <t xml:space="preserve">O sistema permite planejamento por centro de custo, filial, cliente e operação?</t>
  </si>
  <si>
    <t xml:space="preserve">L467</t>
  </si>
  <si>
    <t xml:space="preserve">4.4.12.6 Cadastro Aprovadores</t>
  </si>
  <si>
    <t xml:space="preserve">O sistema permite controle de aprovação do orçamento por níveis hierárquicos?</t>
  </si>
  <si>
    <t xml:space="preserve">Parametrizável</t>
  </si>
  <si>
    <t xml:space="preserve">L469</t>
  </si>
  <si>
    <t xml:space="preserve">1.4 Premissas</t>
  </si>
  <si>
    <t xml:space="preserve">O sistema mantém histórico de alterações (quem, quando, o que mudou)?</t>
  </si>
  <si>
    <t xml:space="preserve">Nativa</t>
  </si>
  <si>
    <t xml:space="preserve">L471</t>
  </si>
  <si>
    <t xml:space="preserve">4.4.12.15 Processo Compra: Contratos</t>
  </si>
  <si>
    <t xml:space="preserve">O sistema permite projeção automática de receitas com base em histórico?</t>
  </si>
  <si>
    <t xml:space="preserve">L472</t>
  </si>
  <si>
    <t xml:space="preserve">O sistema permite projeção de custos variáveis (ex: combustível, manutenção)?</t>
  </si>
  <si>
    <t xml:space="preserve">L473</t>
  </si>
  <si>
    <t xml:space="preserve">O sistema permite projeção de custos fixos?</t>
  </si>
  <si>
    <t xml:space="preserve">L483</t>
  </si>
  <si>
    <t xml:space="preserve">4.4.6 Módulo Financeiro</t>
  </si>
  <si>
    <t xml:space="preserve">O sistema permite simulação de impacto de decisões (ex: aumento de frota, novos contratos)?</t>
  </si>
  <si>
    <t xml:space="preserve">L484</t>
  </si>
  <si>
    <t xml:space="preserve">O sistema permite planejamento financeiro integrado com estratégia da empresa?</t>
  </si>
  <si>
    <t xml:space="preserve">L485</t>
  </si>
  <si>
    <t xml:space="preserve">O sistema permite análise de capacidade operacional vs orçamento?</t>
  </si>
  <si>
    <t xml:space="preserve">L494</t>
  </si>
  <si>
    <t xml:space="preserve">6.1 Cadastros básicos (tema previsto; requisito não detalhado)</t>
  </si>
  <si>
    <t xml:space="preserve">Manter tabelas mestres com governança e versionamento (Natureza de Operação, Situações/Status, Condições de Pagamento, Tipos de Documento, Motivos, Classificações)</t>
  </si>
  <si>
    <t xml:space="preserve">L496</t>
  </si>
  <si>
    <t xml:space="preserve">Controlar vigência, histórico de alterações e trilha de auditoria das tabelas</t>
  </si>
  <si>
    <t xml:space="preserve">L509</t>
  </si>
  <si>
    <t xml:space="preserve">4.4.13.2 Processo Gestão de Qualidade (tema previsto; requisito não detalhado)</t>
  </si>
  <si>
    <t xml:space="preserve">Busca e filtros (metadata + conteúdo, quando suportado) e política de retenção/expurgo</t>
  </si>
  <si>
    <t xml:space="preserve">L510</t>
  </si>
  <si>
    <t xml:space="preserve">4.4.13.1 Cadastros</t>
  </si>
  <si>
    <t xml:space="preserve">Upload em massa e importação de documentos (PDF/XML/Imagem), com validação e padronização de nomenclatura</t>
  </si>
  <si>
    <t xml:space="preserve">L520</t>
  </si>
  <si>
    <t xml:space="preserve">8.1 Mapa de integrações</t>
  </si>
  <si>
    <t xml:space="preserve">Integração com SERASA para análise de crédito/risco (consulta, score, restrições, registros de retorno e decisão)</t>
  </si>
  <si>
    <t xml:space="preserve">L788</t>
  </si>
  <si>
    <t xml:space="preserve">4.4.6.9 Contas a Receber</t>
  </si>
  <si>
    <t xml:space="preserve">Emitir os saldos dos contratos/pedidos de vendas, das confissões de dívida e dos cheques devolvidos.</t>
  </si>
  <si>
    <t xml:space="preserve">L836</t>
  </si>
  <si>
    <t xml:space="preserve">4.4.6.10 Contas a Pagar (tema previsto; requisito não detalhado)</t>
  </si>
  <si>
    <t xml:space="preserve">Módulo de gestão de taxas/Indicadores (Selic, CDI, ...)</t>
  </si>
  <si>
    <t xml:space="preserve">L859</t>
  </si>
  <si>
    <t xml:space="preserve">4.4.6.15 Fluxo de Caixa</t>
  </si>
  <si>
    <t xml:space="preserve">Gerar DFC no método direto e indireto</t>
  </si>
  <si>
    <t xml:space="preserve">L871</t>
  </si>
  <si>
    <t xml:space="preserve">Gestão e cálculo do CPC 06</t>
  </si>
  <si>
    <t xml:space="preserve">L891</t>
  </si>
  <si>
    <t xml:space="preserve">4.4.3.6 Cadastro Pneus (Fabricante/Modelos)</t>
  </si>
  <si>
    <t xml:space="preserve">Integrar um sistema de monitoramento de pressão de pneus em tempo real.</t>
  </si>
  <si>
    <t xml:space="preserve">L892</t>
  </si>
  <si>
    <t xml:space="preserve">4.4.3.20 Pneus</t>
  </si>
  <si>
    <t xml:space="preserve">Calcular a vida útil dos pneus com base no desgaste e quilometragem, para programar a substituição antecipada.</t>
  </si>
  <si>
    <t xml:space="preserve">L1111</t>
  </si>
  <si>
    <t xml:space="preserve">Controle de Estoque</t>
  </si>
  <si>
    <t xml:space="preserve">4.4.12.7 Cadastro Produtos/Serviços</t>
  </si>
  <si>
    <t xml:space="preserve">Registrar regras de qualidade aplicáveis ao item (inspeção obrigatória, bloqueio até liberação, amostragem)</t>
  </si>
  <si>
    <t xml:space="preserve">L119</t>
  </si>
  <si>
    <t xml:space="preserve">Não atende</t>
  </si>
  <si>
    <t xml:space="preserve">SAC</t>
  </si>
  <si>
    <t xml:space="preserve">4.4.1.14 SAC – Gestão de Atendimento</t>
  </si>
  <si>
    <t xml:space="preserve">O sistema registra e gera relatórios de causas recorrentes de reclamações, para melhorar o processo de entrega e atendimento?</t>
  </si>
  <si>
    <t xml:space="preserve">Não Atende</t>
  </si>
  <si>
    <t xml:space="preserve">L150</t>
  </si>
  <si>
    <t xml:space="preserve">Comercial [ Negociação ]</t>
  </si>
  <si>
    <t xml:space="preserve">4.4.4.3 Contrato de Ordem de Serviço; 4.4.1.6 Cadastro de Tabela de Preços; 4.4.5.12 Processo Emissão de Fatura – Minuta/CTE/NFSe</t>
  </si>
  <si>
    <t xml:space="preserve">O Sistema possui integração para acompanhamento dos lançamentos "editais" dos BID´s (leilão eletrônico)</t>
  </si>
  <si>
    <t xml:space="preserve">Outras formas</t>
  </si>
  <si>
    <t xml:space="preserve">L214</t>
  </si>
  <si>
    <t xml:space="preserve">Permitir digitar dados técnicos e/ou complementares numa OC Ordem de Compra</t>
  </si>
  <si>
    <t xml:space="preserve">L216</t>
  </si>
  <si>
    <t xml:space="preserve">Possibilitar ao Comprador solicitar informações adicionais através do Sistema ou Módulo específico, incluindo os Descritivos da Requisição de Compra</t>
  </si>
  <si>
    <t xml:space="preserve">L226</t>
  </si>
  <si>
    <t xml:space="preserve">4.4.12.13 Processo Orçamento; 4.4.12.14 Processo Orçamento: Seleção e Aprovação; 4.4.12.15 Processo Pedido de Compra</t>
  </si>
  <si>
    <t xml:space="preserve">Permitir equalização de Propostas com base no Valor Presente, prevendo diversos Índices Financeiros</t>
  </si>
  <si>
    <t xml:space="preserve">L227</t>
  </si>
  <si>
    <t xml:space="preserve">Controlar prazo de garantia dos Contratos</t>
  </si>
  <si>
    <t xml:space="preserve">L231</t>
  </si>
  <si>
    <t xml:space="preserve">Processar reajustes Contratuais</t>
  </si>
  <si>
    <t xml:space="preserve">L235</t>
  </si>
  <si>
    <t xml:space="preserve">Administrar Contratos de fornecimento contínuo (“pacote” de Compras) e com Qualidade assegurada</t>
  </si>
  <si>
    <t xml:space="preserve">L238</t>
  </si>
  <si>
    <t xml:space="preserve">4.4.12.16 Processo Pedido de Compras: Confirmação</t>
  </si>
  <si>
    <t xml:space="preserve">Controlar reajustes com Índices provisórios, com compensação de eventuais diferenças nos períodos seguintes</t>
  </si>
  <si>
    <t xml:space="preserve">L239</t>
  </si>
  <si>
    <t xml:space="preserve">Manter histórico de alterações contratuais com informação do responsável</t>
  </si>
  <si>
    <t xml:space="preserve">L367</t>
  </si>
  <si>
    <t xml:space="preserve">Fiscal</t>
  </si>
  <si>
    <t xml:space="preserve">4.4.7.8 Obrigações Fiscais</t>
  </si>
  <si>
    <t xml:space="preserve">Geração de arquivos para atendimento do IBGE Mensal.</t>
  </si>
  <si>
    <t xml:space="preserve">L368</t>
  </si>
  <si>
    <t xml:space="preserve">Geração de arquivos para atendimento da DMS Municipal (CE, PB, RN)</t>
  </si>
  <si>
    <t xml:space="preserve">L393</t>
  </si>
  <si>
    <t xml:space="preserve">Possibilidade de no momento do cadastro informar se o ativo é financiado</t>
  </si>
  <si>
    <t xml:space="preserve">L242</t>
  </si>
  <si>
    <t xml:space="preserve">Associar pagamentos a eventos relacionados ao Ciclo de Disponibilização dos serviços</t>
  </si>
  <si>
    <t xml:space="preserve">Sim</t>
  </si>
  <si>
    <t xml:space="preserve">L243</t>
  </si>
  <si>
    <t xml:space="preserve">Estabelecer critérios de reajuste parametrizáveis por fórmulas abrangentes, prevendo composições de diversos Índices</t>
  </si>
  <si>
    <t xml:space="preserve">L257</t>
  </si>
  <si>
    <t xml:space="preserve">Equalizar Cotações de Compra considerando os Índices Financeiros</t>
  </si>
  <si>
    <t xml:space="preserve">L266</t>
  </si>
  <si>
    <t xml:space="preserve">Permitir o registro de manifestações do Fornecedor via Internet e gerar "FollowUp" para consulta e exportação de dados (Relacionamento com Fornecedores)</t>
  </si>
  <si>
    <t xml:space="preserve">L267</t>
  </si>
  <si>
    <t xml:space="preserve">Aceitar rodízio de Compradores entre os diversos Grupos de Produtos, Produtos ou Materiais</t>
  </si>
  <si>
    <t xml:space="preserve">L282</t>
  </si>
  <si>
    <t xml:space="preserve">Disponibilizar Relatórios de Tendências de Ganhos em Negociações (periodicamente, mês a mês, quinzena a quinzena, ...), considerando o comparativo de Quanto se gastaria antes de cada Negociação (Orçado) x Quanto se passaria a gastar após cada Negociaçã</t>
  </si>
  <si>
    <t xml:space="preserve">L283</t>
  </si>
  <si>
    <t xml:space="preserve">Integração com o Sistema ou Módulo Fiscal para alimentar a projeção de impostos oriundos de compras projetadas</t>
  </si>
  <si>
    <t xml:space="preserve">L448</t>
  </si>
  <si>
    <t xml:space="preserve">Custos</t>
  </si>
  <si>
    <t xml:space="preserve">Permtir simular cenários para regime tributário - visão societária e fluxo de caixa</t>
  </si>
  <si>
    <t xml:space="preserve">L456</t>
  </si>
  <si>
    <t xml:space="preserve">O sistema permite definição de premissas orçamentárias por área?</t>
  </si>
  <si>
    <t xml:space="preserve">L457</t>
  </si>
  <si>
    <t xml:space="preserve">O sistema permite criação de cenários (otimista, realista, pessimista)?</t>
  </si>
  <si>
    <t xml:space="preserve">L464</t>
  </si>
  <si>
    <t xml:space="preserve">O sistema integra dados operacionais (frete, km, viagens) ao orçamento?</t>
  </si>
  <si>
    <t xml:space="preserve">L468</t>
  </si>
  <si>
    <t xml:space="preserve">O sistema permite controle de versões do orçamento?</t>
  </si>
  <si>
    <t xml:space="preserve">Não informada</t>
  </si>
  <si>
    <t xml:space="preserve">L873</t>
  </si>
  <si>
    <t xml:space="preserve">Controlar as cotas de consórcio adquiridas pela empresa.</t>
  </si>
  <si>
    <t xml:space="preserve">L874</t>
  </si>
  <si>
    <t xml:space="preserve">Registrar os pagamentos de consórcio e os valores de resgates.</t>
  </si>
  <si>
    <t xml:space="preserve">L875</t>
  </si>
  <si>
    <t xml:space="preserve">Emitir relatórios detalhados de consórcios ativos, pagamentos e resgates realizados.</t>
  </si>
  <si>
    <t xml:space="preserve">L876</t>
  </si>
  <si>
    <t xml:space="preserve">Permitir o controle de financiamentos e aplicações financeiras para obtenção de posições consolidadas.</t>
  </si>
  <si>
    <t xml:space="preserve">L1105</t>
  </si>
  <si>
    <t xml:space="preserve">Cadastrar produtos alternativos/substitutos e regras de equivalência</t>
  </si>
  <si>
    <t xml:space="preserve">COM01</t>
  </si>
  <si>
    <t xml:space="preserve">Novo</t>
  </si>
  <si>
    <t xml:space="preserve">Comercial/CRM</t>
  </si>
  <si>
    <t xml:space="preserve">5.1 Lista de gaps</t>
  </si>
  <si>
    <t xml:space="preserve">Desconto sobre fatura tem que descontar % do vendedor.</t>
  </si>
  <si>
    <t xml:space="preserve">Parametrização</t>
  </si>
  <si>
    <t xml:space="preserve">Média</t>
  </si>
  <si>
    <t xml:space="preserve">Configurar a comissão sobre o valor líquido da fatura (abatendo o desconto concedido) e validar com a planilha PCOM06. Se o padrão não atender, tratar via controle de mudanças.</t>
  </si>
  <si>
    <t xml:space="preserve">Decisão: A validar · Esforço: 8 h</t>
  </si>
  <si>
    <t xml:space="preserve">COM02</t>
  </si>
  <si>
    <t xml:space="preserve">Desenvolvimento/ajuste de análise e validação de margem mínima.</t>
  </si>
  <si>
    <t xml:space="preserve">Customização</t>
  </si>
  <si>
    <t xml:space="preserve">Desenvolver a validação de margem mínima na cotação e na tabela, com bloqueio ou alçada de aprovação abaixo da margem (regra a definir pelo Nilton).</t>
  </si>
  <si>
    <t xml:space="preserve">COM03</t>
  </si>
  <si>
    <t xml:space="preserve">Bloquear emissão por % de NF quando o destinatário for DEDICADO (ex.: LIDER, FORMOSA, DrogaRaia).</t>
  </si>
  <si>
    <t xml:space="preserve">Parametrizar os destinatários dedicados (LIDER, FORMOSA, DrogaRaia) para bloquear o cálculo por % de NF e exigir tabela específica.</t>
  </si>
  <si>
    <t xml:space="preserve">TMS01</t>
  </si>
  <si>
    <t xml:space="preserve">TMS</t>
  </si>
  <si>
    <t xml:space="preserve">Procedimento Operacional de Coleta para Controlar melhor a operação JADLOG</t>
  </si>
  <si>
    <t xml:space="preserve">Processo</t>
  </si>
  <si>
    <t xml:space="preserve">Elaborar o procedimento operacional de coleta JADLOG (ordem de coleta, coleta, conferência e baixa) com a operação, alinhado ao processo de Coleta do TMS.</t>
  </si>
  <si>
    <t xml:space="preserve">TMS02</t>
  </si>
  <si>
    <t xml:space="preserve">VERIFICAR Impressão de etiqueta código de barras na operação e leitura de Etiqueta dos clientes</t>
  </si>
  <si>
    <t xml:space="preserve">Parametrizar o modelo de etiqueta e a impressora térmica e configurar a leitura das etiquetas dos clientes; testar na homologação.</t>
  </si>
  <si>
    <t xml:space="preserve">TMS03</t>
  </si>
  <si>
    <t xml:space="preserve">Separação Municipal entre Minuta/CTE</t>
  </si>
  <si>
    <t xml:space="preserve">Parametrizar a regra de emissão: origem e destino no mesmo município em Minuta/NFS-e e intermunicipal em CT-e; testar em homologação SEFAZ.</t>
  </si>
  <si>
    <t xml:space="preserve">Decisão: A validar · Esforço: 1 h</t>
  </si>
  <si>
    <t xml:space="preserve">TMS04</t>
  </si>
  <si>
    <t xml:space="preserve">Apólice de Seguros → responsabilidade dos parceiros aderirem ao PGR.</t>
  </si>
  <si>
    <t xml:space="preserve">A MADRI formaliza a adesão dos parceiros ao PGR/apólice; o Nucci parametriza a exigência de documentos e o bloqueio de embarque sem cobertura.</t>
  </si>
  <si>
    <t xml:space="preserve">TMS05</t>
  </si>
  <si>
    <t xml:space="preserve">Retenção de impostos de terceiros com o departamento FISCAL.</t>
  </si>
  <si>
    <t xml:space="preserve">Definir com o Fiscal e a contabilidade (Domínio) as regras de retenção sobre terceiros e parametrizar nas tabelas do Fiscal; revisar após a reforma tributária.</t>
  </si>
  <si>
    <t xml:space="preserve">TMS06</t>
  </si>
  <si>
    <t xml:space="preserve">KARTINEY enviará as regras da PGR.</t>
  </si>
  <si>
    <t xml:space="preserve">Receber as regras de PGR do Kartiney e parametrizar bloqueios e liberações no TMS e na gerenciadora de risco; testar na homologação.</t>
  </si>
  <si>
    <t xml:space="preserve">Decisão: A validar (regras PGR) · Esforço: 1 h</t>
  </si>
  <si>
    <t xml:space="preserve">TMS07</t>
  </si>
  <si>
    <t xml:space="preserve">RODOBENS cancela a SM da MADRID quando a JADLOG emite SM/MDFe com o mesmo veículo/motorista.</t>
  </si>
  <si>
    <t xml:space="preserve">Alta</t>
  </si>
  <si>
    <t xml:space="preserve">Reunião MADRI–JADLOG–RODOBENS para definir a regra de emissão de SM/MDF-e para o mesmo veículo e motorista; documentar o procedimento e incluir cenário de teste.</t>
  </si>
  <si>
    <t xml:space="preserve">TMS08</t>
  </si>
  <si>
    <t xml:space="preserve">Substituição do Envoy: baixa de entrega no MobiTruck com evidências obrigatórias (foto e localização) e ocorrências padronizadas.</t>
  </si>
  <si>
    <t xml:space="preserve">Configurar o MobiTruck com foto e localização obrigatórias na baixa e ocorrências padronizadas; plano de descontinuação do Envoy e operação assistida (PWMS04).</t>
  </si>
  <si>
    <t xml:space="preserve">Decisão: A validar (PWMS04) · Esforço: 8 h</t>
  </si>
  <si>
    <t xml:space="preserve">TMS09</t>
  </si>
  <si>
    <t xml:space="preserve">Esteira com leitura do volume e indicação visual da rota em monitor, com contador volume corrente/total (01/40).</t>
  </si>
  <si>
    <t xml:space="preserve">Integrar a esteira, o leitor e o monitor para indicar a rota e o contador de volumes; especificação e orçamento em PWMS03.</t>
  </si>
  <si>
    <t xml:space="preserve">TMS10</t>
  </si>
  <si>
    <t xml:space="preserve">Segundo nível de separação por microrrota com ponto de leitura na área da rota.</t>
  </si>
  <si>
    <t xml:space="preserve">Segundo nível de separação por microrrota, com ponto de leitura na área da rota e conferência do volume.</t>
  </si>
  <si>
    <t xml:space="preserve">TMS11</t>
  </si>
  <si>
    <t xml:space="preserve">Leitura das etiquetas DHL/JADLOG e tratamento de etiquetas antigas ou reaproveitadas; etiqueta MADRI somente quando necessária.</t>
  </si>
  <si>
    <t xml:space="preserve">Validar a etiqueta lida contra a carga prevista, bloquear etiquetas de movimentações anteriores e gerar etiqueta MADRI só quando necessário.</t>
  </si>
  <si>
    <t xml:space="preserve">TMS12</t>
  </si>
  <si>
    <t xml:space="preserve">Romaneio pelo coletor e check-out do veículo (previstos × carregados), substituindo o arquivo TXT da JADLOG.</t>
  </si>
  <si>
    <t xml:space="preserve">Gerar o romaneio pelo coletor e registrar o check-out do veículo (previstos × carregados), substituindo o arquivo TXT da JADLOG.</t>
  </si>
  <si>
    <t xml:space="preserve">TMS13</t>
  </si>
  <si>
    <t xml:space="preserve">Check-in de retorno dos volumes não entregues, conferido por motorista e conferente.</t>
  </si>
  <si>
    <t xml:space="preserve">Check-in de retorno dos volumes não entregues, conferido por motorista e conferente, com status e pendência.</t>
  </si>
  <si>
    <t xml:space="preserve">TMS14</t>
  </si>
  <si>
    <t xml:space="preserve">Check-out na origem e check-in no destino nas transferências entre unidades, com pendência automática de divergência.</t>
  </si>
  <si>
    <t xml:space="preserve">Check-out na origem e check-in no destino, com comparativo expedidos × recebidos e pendência automática de divergência.</t>
  </si>
  <si>
    <t xml:space="preserve">FRT01</t>
  </si>
  <si>
    <t xml:space="preserve">Setor de Custos – previsão de gasto mensal de combustível.</t>
  </si>
  <si>
    <t xml:space="preserve">Baixa</t>
  </si>
  <si>
    <t xml:space="preserve">Definir com o setor de Custos a previsão mensal de combustível por veículo e parametrizar no Custos/Frota o comparativo previsto × realizado.</t>
  </si>
  <si>
    <t xml:space="preserve">Decisão: A validar · Esforço: 2 h</t>
  </si>
  <si>
    <t xml:space="preserve">FRT02</t>
  </si>
  <si>
    <t xml:space="preserve">Tratamento do ticket de combustível após a reforma tributária.</t>
  </si>
  <si>
    <t xml:space="preserve">Acompanhar as regras da reforma tributária (CBS/IBS) para o ticket de combustível e revisar a parametrização fiscal com a contabilidade antes do go-live.</t>
  </si>
  <si>
    <t xml:space="preserve">Decisão: A validar · Esforço: 4 h</t>
  </si>
  <si>
    <t xml:space="preserve">FRT03</t>
  </si>
  <si>
    <t xml:space="preserve">Verificar custo dos serviços do TicketLog como custo de combustível direto no veículo.</t>
  </si>
  <si>
    <t xml:space="preserve">Ratear os custos dos serviços da TicketLog por veículo para compor o custo direto de combustível; definir conta e regra com Custos e Financeiro.</t>
  </si>
  <si>
    <t xml:space="preserve">FRT04</t>
  </si>
  <si>
    <t xml:space="preserve">Conferência fiscal das NFes de combustível x fatura da TicketLog.</t>
  </si>
  <si>
    <t xml:space="preserve">Criar relatório de conciliação entre as NF-e de combustível e a fatura da TicketLog, com divergências por período; definir o responsável (Fiscal/Frota).</t>
  </si>
  <si>
    <t xml:space="preserve">WMS01</t>
  </si>
  <si>
    <t xml:space="preserve">Controle de recebimento em nível de volume (previsto × recebido) com identificação de falta, sobra, volume de outra transferência, complemento, sem identificação e avaria.</t>
  </si>
  <si>
    <t xml:space="preserve">Check-in por volume com comparativo previsto × recebido e pendência automática de falta, sobra e volume sem identificação, com eventos da DHL/JADLOG (IWMS01/02).</t>
  </si>
  <si>
    <t xml:space="preserve">Decisão: Condicionado ao WMS · Esforço: 1 h</t>
  </si>
  <si>
    <t xml:space="preserve">WMS02</t>
  </si>
  <si>
    <t xml:space="preserve">Controle de carga-valor (acima de ~R$ 500,00) com endereço de segurança e alerta de capacidade da área.</t>
  </si>
  <si>
    <t xml:space="preserve">Endereço de segurança obrigatório para volumes acima de ~R$ 500,00 e alerta de capacidade da área; revisar o layout (PWMS06).</t>
  </si>
  <si>
    <t xml:space="preserve">Como usar esta planilha</t>
  </si>
  <si>
    <t xml:space="preserve">Células amarelas</t>
  </si>
  <si>
    <t xml:space="preserve">Campos para a equipe preencher na aba Itens: Descrição da equipe, Responsável, Data e Status.</t>
  </si>
  <si>
    <t xml:space="preserve">Números em azul</t>
  </si>
  <si>
    <t xml:space="preserve">Valores fixos vindos da RFI e do Blueprint (aba Resumo). O resto é calculado por fórmula.</t>
  </si>
  <si>
    <t xml:space="preserve">Escolha na lista: Pendente, Em análise, Validado ou Descartado. O Resumo conta automaticamente.</t>
  </si>
  <si>
    <t xml:space="preserve">Filtros</t>
  </si>
  <si>
    <t xml:space="preserve">A aba Itens é uma tabela: use as setas do cabeçalho para filtrar por módulo, categoria, status etc.</t>
  </si>
  <si>
    <t xml:space="preserve">Atendido só em parte (50% ou 30%). Não conta como entrega.</t>
  </si>
  <si>
    <t xml:space="preserve">A NUCCI marcou como Não Atende (0%). "Sem seção no Blueprint = Sim" indica pendência da seção 16: validar com a MADRI se é obrigatório ou desejável.</t>
  </si>
  <si>
    <t xml:space="preserve">Necessidade que não estava na RFI (entrevistas e visita a Belém). Não entra na aderência. Os 2 itens de WMS ficam fora desta primeira fase.</t>
  </si>
  <si>
    <t xml:space="preserve">Benner</t>
  </si>
  <si>
    <t xml:space="preserve">Os 115 requisitos de RH ficam com a Benner, contratada à parte. Entram no total da RFI, mas não na aderência da NUCCI.</t>
  </si>
  <si>
    <t xml:space="preserve">Exemplo de preenchimento</t>
  </si>
  <si>
    <t xml:space="preserve">Descrição da equipe: "Validado com Compras em reunião; seguir com customização no sprint 3." · Responsável: Maria Souza · Data: 20/10/2026 · Status: Em análise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</si>
</sst>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dd/mm/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532D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1"/>
      <color rgb="FF334155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4141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5803D"/>
      <name val="Arial"/>
      <family val="0"/>
      <charset val="1"/>
    </font>
    <font>
      <sz val="10"/>
      <color rgb="FF141414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4532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92400E"/>
      <name val="Arial"/>
      <family val="0"/>
      <charset val="1"/>
    </font>
    <font>
      <b val="true"/>
      <sz val="12"/>
      <color rgb="FF14532D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1F2A22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14532D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CFDF3"/>
        <bgColor rgb="FFEFF6FF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14532D"/>
        <bgColor rgb="FF334155"/>
      </patternFill>
    </fill>
    <fill>
      <patternFill patternType="solid">
        <fgColor rgb="FFFFFFFF"/>
        <bgColor rgb="FFFAF9FF"/>
      </patternFill>
    </fill>
    <fill>
      <patternFill patternType="solid">
        <fgColor rgb="FFF5F3FF"/>
        <bgColor rgb="FFF1F5F9"/>
      </patternFill>
    </fill>
    <fill>
      <patternFill patternType="solid">
        <fgColor rgb="FFFAF9FF"/>
        <bgColor rgb="FFFFFFFF"/>
      </patternFill>
    </fill>
    <fill>
      <patternFill patternType="solid">
        <fgColor rgb="FF6D28D9"/>
        <bgColor rgb="FF800080"/>
      </patternFill>
    </fill>
    <fill>
      <patternFill patternType="solid">
        <fgColor rgb="FFA16207"/>
        <bgColor rgb="FF92400E"/>
      </patternFill>
    </fill>
    <fill>
      <patternFill patternType="solid">
        <fgColor rgb="FFFFF9DB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5DC"/>
      </left>
      <right style="thin">
        <color rgb="FFDFE5DC"/>
      </right>
      <top style="thin">
        <color rgb="FFDFE5DC"/>
      </top>
      <bottom style="thin">
        <color rgb="FFDFE5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3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453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A22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A16207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ont>
        <name val="Arial"/>
        <charset val="1"/>
        <family val="0"/>
        <b val="1"/>
        <color rgb="FF334155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D4ED8"/>
      </font>
      <fill>
        <patternFill>
          <bgColor rgb="FFEFF6FF"/>
        </patternFill>
      </fill>
    </dxf>
    <dxf>
      <font>
        <name val="Arial"/>
        <charset val="1"/>
        <family val="0"/>
        <b val="1"/>
        <color rgb="FF14532D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52514E"/>
      </font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5803D"/>
      <rgbColor rgb="FF000080"/>
      <rgbColor rgb="FFA16207"/>
      <rgbColor rgb="FF6D28D9"/>
      <rgbColor rgb="FF008080"/>
      <rgbColor rgb="FFF1F5F9"/>
      <rgbColor rgb="FF808080"/>
      <rgbColor rgb="FF9999FF"/>
      <rgbColor rgb="FF993366"/>
      <rgbColor rgb="FFFFF9DB"/>
      <rgbColor rgb="FFDCFCE7"/>
      <rgbColor rgb="FF660066"/>
      <rgbColor rgb="FFFF8080"/>
      <rgbColor rgb="FF1D4ED8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3"/>
      <rgbColor rgb="FFDFE5DC"/>
      <rgbColor rgb="FFFEF3C7"/>
      <rgbColor rgb="FFEFF6FF"/>
      <rgbColor rgb="FFF5F3FF"/>
      <rgbColor rgb="FFFAF9FF"/>
      <rgbColor rgb="FFFEE2E2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14532D"/>
      <rgbColor rgb="FF339966"/>
      <rgbColor rgb="FF141414"/>
      <rgbColor rgb="FF333300"/>
      <rgbColor rgb="FF92400E"/>
      <rgbColor rgb="FF993366"/>
      <rgbColor rgb="FF334155"/>
      <rgbColor rgb="FF1F2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tens" displayName="Itens" ref="A4:Q112" headerRowCount="1" totalsRowCount="0" totalsRowShown="0">
  <autoFilter ref="A4:Q112"/>
  <tableColumns count="17">
    <tableColumn id="1" name="Item"/>
    <tableColumn id="2" name="Módulo"/>
    <tableColumn id="3" name="Categoria"/>
    <tableColumn id="4" name="Agrupamento"/>
    <tableColumn id="5" name="Processo / Seção"/>
    <tableColumn id="6" name="Requisito / Descrição do gap"/>
    <tableColumn id="7" name="Aderência"/>
    <tableColumn id="8" name="Sem seção no Blueprint"/>
    <tableColumn id="9" name="Forma de atendimento"/>
    <tableColumn id="10" name="Criticidade"/>
    <tableColumn id="11" name="WMS"/>
    <tableColumn id="12" name="Solução proposta (Blueprint 5.1)"/>
    <tableColumn id="13" name="Observação"/>
    <tableColumn id="14" name="Descrição da equipe"/>
    <tableColumn id="15" name="Responsável"/>
    <tableColumn id="16" name="Data"/>
    <tableColumn id="1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03D"/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B4" s="3" t="s">
        <v>2</v>
      </c>
      <c r="C4" s="3"/>
      <c r="D4" s="3"/>
      <c r="E4" s="4" t="s">
        <v>3</v>
      </c>
      <c r="F4" s="4"/>
      <c r="G4" s="4"/>
      <c r="H4" s="4"/>
      <c r="I4" s="5" t="s">
        <v>4</v>
      </c>
      <c r="J4" s="5"/>
    </row>
    <row r="5" customFormat="false" ht="42" hidden="false" customHeight="tru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</row>
    <row r="6" customFormat="false" ht="15" hidden="false" customHeight="false" outlineLevel="0" collapsed="false">
      <c r="A6" s="7" t="s">
        <v>15</v>
      </c>
      <c r="B6" s="8" t="n">
        <v>113</v>
      </c>
      <c r="C6" s="8" t="n">
        <v>111</v>
      </c>
      <c r="D6" s="9" t="n">
        <f aca="false">IFERROR(C6/B6,0)</f>
        <v>0.982300884955752</v>
      </c>
      <c r="E6" s="10" t="n">
        <v>111</v>
      </c>
      <c r="F6" s="11" t="n">
        <f aca="false">COUNTIFS(Itens!$B$5:$B$112,$A6,Itens!$C$5:$C$112,"Parcial")</f>
        <v>0</v>
      </c>
      <c r="G6" s="11" t="n">
        <f aca="false">COUNTIFS(Itens!$B$5:$B$112,$A6,Itens!$C$5:$C$112,"Não atende")</f>
        <v>2</v>
      </c>
      <c r="H6" s="12" t="n">
        <v>0</v>
      </c>
      <c r="I6" s="13" t="n">
        <f aca="false">COUNTIFS(Itens!$B$5:$B$112,$A6,Itens!$C$5:$C$112,"Novo")</f>
        <v>17</v>
      </c>
      <c r="J6" s="14" t="n">
        <f aca="false">COUNTIFS(Itens!$B$5:$B$112,$A6,Itens!$N$5:$N$112,"&lt;&gt;")</f>
        <v>0</v>
      </c>
    </row>
    <row r="7" customFormat="false" ht="15" hidden="false" customHeight="false" outlineLevel="0" collapsed="false">
      <c r="A7" s="7" t="s">
        <v>16</v>
      </c>
      <c r="B7" s="8" t="n">
        <v>78</v>
      </c>
      <c r="C7" s="8" t="n">
        <v>78</v>
      </c>
      <c r="D7" s="9" t="n">
        <f aca="false">IFERROR(C7/B7,0)</f>
        <v>1</v>
      </c>
      <c r="E7" s="10" t="n">
        <v>78</v>
      </c>
      <c r="F7" s="11" t="n">
        <f aca="false">COUNTIFS(Itens!$B$5:$B$112,$A7,Itens!$C$5:$C$112,"Parcial")</f>
        <v>0</v>
      </c>
      <c r="G7" s="11" t="n">
        <f aca="false">COUNTIFS(Itens!$B$5:$B$112,$A7,Itens!$C$5:$C$112,"Não atende")</f>
        <v>0</v>
      </c>
      <c r="H7" s="12" t="n">
        <v>0</v>
      </c>
      <c r="I7" s="13" t="n">
        <f aca="false">COUNTIFS(Itens!$B$5:$B$112,$A7,Itens!$C$5:$C$112,"Novo")</f>
        <v>0</v>
      </c>
      <c r="J7" s="14" t="n">
        <f aca="false">COUNTIFS(Itens!$B$5:$B$112,$A7,Itens!$N$5:$N$112,"&lt;&gt;")</f>
        <v>0</v>
      </c>
    </row>
    <row r="8" customFormat="false" ht="15" hidden="false" customHeight="false" outlineLevel="0" collapsed="false">
      <c r="A8" s="7" t="s">
        <v>17</v>
      </c>
      <c r="B8" s="8" t="n">
        <v>74</v>
      </c>
      <c r="C8" s="8" t="n">
        <v>74</v>
      </c>
      <c r="D8" s="9" t="n">
        <f aca="false">IFERROR(C8/B8,0)</f>
        <v>1</v>
      </c>
      <c r="E8" s="10" t="n">
        <v>74</v>
      </c>
      <c r="F8" s="11" t="n">
        <f aca="false">COUNTIFS(Itens!$B$5:$B$112,$A8,Itens!$C$5:$C$112,"Parcial")</f>
        <v>0</v>
      </c>
      <c r="G8" s="11" t="n">
        <f aca="false">COUNTIFS(Itens!$B$5:$B$112,$A8,Itens!$C$5:$C$112,"Não atende")</f>
        <v>0</v>
      </c>
      <c r="H8" s="12" t="n">
        <v>0</v>
      </c>
      <c r="I8" s="13" t="n">
        <f aca="false">COUNTIFS(Itens!$B$5:$B$112,$A8,Itens!$C$5:$C$112,"Novo")</f>
        <v>0</v>
      </c>
      <c r="J8" s="14" t="n">
        <f aca="false">COUNTIFS(Itens!$B$5:$B$112,$A8,Itens!$N$5:$N$112,"&lt;&gt;")</f>
        <v>0</v>
      </c>
    </row>
    <row r="9" customFormat="false" ht="15" hidden="false" customHeight="false" outlineLevel="0" collapsed="false">
      <c r="A9" s="7" t="s">
        <v>18</v>
      </c>
      <c r="B9" s="8" t="n">
        <v>107</v>
      </c>
      <c r="C9" s="8" t="n">
        <v>99</v>
      </c>
      <c r="D9" s="9" t="n">
        <f aca="false">IFERROR(C9/B9,0)</f>
        <v>0.925233644859813</v>
      </c>
      <c r="E9" s="10" t="n">
        <v>99</v>
      </c>
      <c r="F9" s="11" t="n">
        <f aca="false">COUNTIFS(Itens!$B$5:$B$112,$A9,Itens!$C$5:$C$112,"Parcial")</f>
        <v>4</v>
      </c>
      <c r="G9" s="11" t="n">
        <f aca="false">COUNTIFS(Itens!$B$5:$B$112,$A9,Itens!$C$5:$C$112,"Não atende")</f>
        <v>4</v>
      </c>
      <c r="H9" s="12" t="n">
        <v>0</v>
      </c>
      <c r="I9" s="13" t="n">
        <f aca="false">COUNTIFS(Itens!$B$5:$B$112,$A9,Itens!$C$5:$C$112,"Novo")</f>
        <v>0</v>
      </c>
      <c r="J9" s="14" t="n">
        <f aca="false">COUNTIFS(Itens!$B$5:$B$112,$A9,Itens!$N$5:$N$112,"&lt;&gt;")</f>
        <v>0</v>
      </c>
    </row>
    <row r="10" customFormat="false" ht="15" hidden="false" customHeight="false" outlineLevel="0" collapsed="false">
      <c r="A10" s="7" t="s">
        <v>19</v>
      </c>
      <c r="B10" s="8" t="n">
        <v>150</v>
      </c>
      <c r="C10" s="8" t="n">
        <v>110</v>
      </c>
      <c r="D10" s="9" t="n">
        <f aca="false">IFERROR(C10/B10,0)</f>
        <v>0.733333333333333</v>
      </c>
      <c r="E10" s="10" t="n">
        <v>110</v>
      </c>
      <c r="F10" s="11" t="n">
        <f aca="false">COUNTIFS(Itens!$B$5:$B$112,$A10,Itens!$C$5:$C$112,"Parcial")</f>
        <v>32</v>
      </c>
      <c r="G10" s="11" t="n">
        <f aca="false">COUNTIFS(Itens!$B$5:$B$112,$A10,Itens!$C$5:$C$112,"Não atende")</f>
        <v>8</v>
      </c>
      <c r="H10" s="12" t="n">
        <v>0</v>
      </c>
      <c r="I10" s="13" t="n">
        <f aca="false">COUNTIFS(Itens!$B$5:$B$112,$A10,Itens!$C$5:$C$112,"Novo")</f>
        <v>0</v>
      </c>
      <c r="J10" s="14" t="n">
        <f aca="false">COUNTIFS(Itens!$B$5:$B$112,$A10,Itens!$N$5:$N$112,"&lt;&gt;")</f>
        <v>0</v>
      </c>
    </row>
    <row r="11" customFormat="false" ht="15" hidden="false" customHeight="false" outlineLevel="0" collapsed="false">
      <c r="A11" s="7" t="s">
        <v>20</v>
      </c>
      <c r="B11" s="8" t="n">
        <v>99</v>
      </c>
      <c r="C11" s="8" t="n">
        <v>73</v>
      </c>
      <c r="D11" s="9" t="n">
        <f aca="false">IFERROR(C11/B11,0)</f>
        <v>0.737373737373737</v>
      </c>
      <c r="E11" s="10" t="n">
        <v>73</v>
      </c>
      <c r="F11" s="11" t="n">
        <f aca="false">COUNTIFS(Itens!$B$5:$B$112,$A11,Itens!$C$5:$C$112,"Parcial")</f>
        <v>11</v>
      </c>
      <c r="G11" s="11" t="n">
        <f aca="false">COUNTIFS(Itens!$B$5:$B$112,$A11,Itens!$C$5:$C$112,"Não atende")</f>
        <v>15</v>
      </c>
      <c r="H11" s="12" t="n">
        <v>0</v>
      </c>
      <c r="I11" s="13" t="n">
        <f aca="false">COUNTIFS(Itens!$B$5:$B$112,$A11,Itens!$C$5:$C$112,"Novo")</f>
        <v>0</v>
      </c>
      <c r="J11" s="14" t="n">
        <f aca="false">COUNTIFS(Itens!$B$5:$B$112,$A11,Itens!$N$5:$N$112,"&lt;&gt;")</f>
        <v>1</v>
      </c>
    </row>
    <row r="12" customFormat="false" ht="15" hidden="false" customHeight="false" outlineLevel="0" collapsed="false">
      <c r="A12" s="7" t="s">
        <v>21</v>
      </c>
      <c r="B12" s="8" t="n">
        <v>33</v>
      </c>
      <c r="C12" s="8" t="n">
        <v>31</v>
      </c>
      <c r="D12" s="9" t="n">
        <f aca="false">IFERROR(C12/B12,0)</f>
        <v>0.939393939393939</v>
      </c>
      <c r="E12" s="10" t="n">
        <v>31</v>
      </c>
      <c r="F12" s="11" t="n">
        <f aca="false">COUNTIFS(Itens!$B$5:$B$112,$A12,Itens!$C$5:$C$112,"Parcial")</f>
        <v>1</v>
      </c>
      <c r="G12" s="11" t="n">
        <f aca="false">COUNTIFS(Itens!$B$5:$B$112,$A12,Itens!$C$5:$C$112,"Não atende")</f>
        <v>1</v>
      </c>
      <c r="H12" s="12" t="n">
        <v>0</v>
      </c>
      <c r="I12" s="13" t="n">
        <f aca="false">COUNTIFS(Itens!$B$5:$B$112,$A12,Itens!$C$5:$C$112,"Novo")</f>
        <v>0</v>
      </c>
      <c r="J12" s="14" t="n">
        <f aca="false">COUNTIFS(Itens!$B$5:$B$112,$A12,Itens!$N$5:$N$112,"&lt;&gt;")</f>
        <v>0</v>
      </c>
    </row>
    <row r="13" customFormat="false" ht="15" hidden="false" customHeight="false" outlineLevel="0" collapsed="false">
      <c r="A13" s="7" t="s">
        <v>22</v>
      </c>
      <c r="B13" s="8" t="n">
        <v>78</v>
      </c>
      <c r="C13" s="8" t="n">
        <v>73</v>
      </c>
      <c r="D13" s="9" t="n">
        <f aca="false">IFERROR(C13/B13,0)</f>
        <v>0.935897435897436</v>
      </c>
      <c r="E13" s="10" t="n">
        <v>73</v>
      </c>
      <c r="F13" s="11" t="n">
        <f aca="false">COUNTIFS(Itens!$B$5:$B$112,$A13,Itens!$C$5:$C$112,"Parcial")</f>
        <v>5</v>
      </c>
      <c r="G13" s="11" t="n">
        <f aca="false">COUNTIFS(Itens!$B$5:$B$112,$A13,Itens!$C$5:$C$112,"Não atende")</f>
        <v>0</v>
      </c>
      <c r="H13" s="12" t="n">
        <v>0</v>
      </c>
      <c r="I13" s="13" t="n">
        <f aca="false">COUNTIFS(Itens!$B$5:$B$112,$A13,Itens!$C$5:$C$112,"Novo")</f>
        <v>0</v>
      </c>
      <c r="J13" s="14" t="n">
        <f aca="false">COUNTIFS(Itens!$B$5:$B$112,$A13,Itens!$N$5:$N$112,"&lt;&gt;")</f>
        <v>0</v>
      </c>
    </row>
    <row r="14" customFormat="false" ht="15" hidden="false" customHeight="false" outlineLevel="0" collapsed="false">
      <c r="A14" s="7" t="s">
        <v>23</v>
      </c>
      <c r="B14" s="8" t="n">
        <v>26</v>
      </c>
      <c r="C14" s="8" t="n">
        <v>24</v>
      </c>
      <c r="D14" s="9" t="n">
        <f aca="false">IFERROR(C14/B14,0)</f>
        <v>0.923076923076923</v>
      </c>
      <c r="E14" s="10" t="n">
        <v>24</v>
      </c>
      <c r="F14" s="11" t="n">
        <f aca="false">COUNTIFS(Itens!$B$5:$B$112,$A14,Itens!$C$5:$C$112,"Parcial")</f>
        <v>2</v>
      </c>
      <c r="G14" s="11" t="n">
        <f aca="false">COUNTIFS(Itens!$B$5:$B$112,$A14,Itens!$C$5:$C$112,"Não atende")</f>
        <v>0</v>
      </c>
      <c r="H14" s="12" t="n">
        <v>0</v>
      </c>
      <c r="I14" s="13" t="n">
        <f aca="false">COUNTIFS(Itens!$B$5:$B$112,$A14,Itens!$C$5:$C$112,"Novo")</f>
        <v>4</v>
      </c>
      <c r="J14" s="14" t="n">
        <f aca="false">COUNTIFS(Itens!$B$5:$B$112,$A14,Itens!$N$5:$N$112,"&lt;&gt;")</f>
        <v>0</v>
      </c>
    </row>
    <row r="15" customFormat="false" ht="15" hidden="false" customHeight="false" outlineLevel="0" collapsed="false">
      <c r="A15" s="7" t="s">
        <v>24</v>
      </c>
      <c r="B15" s="8" t="n">
        <v>35</v>
      </c>
      <c r="C15" s="8" t="n">
        <v>35</v>
      </c>
      <c r="D15" s="9" t="n">
        <f aca="false">IFERROR(C15/B15,0)</f>
        <v>1</v>
      </c>
      <c r="E15" s="10" t="n">
        <v>35</v>
      </c>
      <c r="F15" s="11" t="n">
        <f aca="false">COUNTIFS(Itens!$B$5:$B$112,$A15,Itens!$C$5:$C$112,"Parcial")</f>
        <v>0</v>
      </c>
      <c r="G15" s="11" t="n">
        <f aca="false">COUNTIFS(Itens!$B$5:$B$112,$A15,Itens!$C$5:$C$112,"Não atende")</f>
        <v>0</v>
      </c>
      <c r="H15" s="12" t="n">
        <v>0</v>
      </c>
      <c r="I15" s="13" t="n">
        <f aca="false">COUNTIFS(Itens!$B$5:$B$112,$A15,Itens!$C$5:$C$112,"Novo")</f>
        <v>0</v>
      </c>
      <c r="J15" s="14" t="n">
        <f aca="false">COUNTIFS(Itens!$B$5:$B$112,$A15,Itens!$N$5:$N$112,"&lt;&gt;")</f>
        <v>0</v>
      </c>
    </row>
    <row r="16" customFormat="false" ht="15" hidden="false" customHeight="false" outlineLevel="0" collapsed="false">
      <c r="A16" s="15" t="s">
        <v>25</v>
      </c>
      <c r="B16" s="16" t="n">
        <f aca="false">SUM(B6:B15)</f>
        <v>793</v>
      </c>
      <c r="C16" s="16" t="n">
        <f aca="false">SUM(C6:C15)</f>
        <v>708</v>
      </c>
      <c r="D16" s="17" t="n">
        <f aca="false">IFERROR(C16/B16,0)</f>
        <v>0.89281210592686</v>
      </c>
      <c r="E16" s="16" t="n">
        <f aca="false">SUM(E6:E15)</f>
        <v>708</v>
      </c>
      <c r="F16" s="16" t="n">
        <f aca="false">SUM(F6:F15)</f>
        <v>55</v>
      </c>
      <c r="G16" s="16" t="n">
        <f aca="false">SUM(G6:G15)</f>
        <v>30</v>
      </c>
      <c r="H16" s="16" t="n">
        <v>0</v>
      </c>
      <c r="I16" s="16" t="n">
        <f aca="false">COUNTIFS(Itens!$C$5:$C$112,"Novo")</f>
        <v>23</v>
      </c>
      <c r="J16" s="16" t="n">
        <f aca="false">SUM(J6:J15)</f>
        <v>1</v>
      </c>
    </row>
    <row r="17" customFormat="false" ht="15" hidden="false" customHeight="false" outlineLevel="0" collapsed="false">
      <c r="A17" s="18" t="s">
        <v>26</v>
      </c>
      <c r="B17" s="19" t="n">
        <v>115</v>
      </c>
      <c r="C17" s="20" t="s">
        <v>27</v>
      </c>
      <c r="D17" s="21" t="s">
        <v>27</v>
      </c>
      <c r="E17" s="20" t="s">
        <v>27</v>
      </c>
      <c r="F17" s="20" t="s">
        <v>27</v>
      </c>
      <c r="G17" s="20" t="s">
        <v>27</v>
      </c>
      <c r="H17" s="19" t="n">
        <v>115</v>
      </c>
      <c r="I17" s="20" t="s">
        <v>27</v>
      </c>
      <c r="J17" s="20" t="s">
        <v>27</v>
      </c>
    </row>
    <row r="18" customFormat="false" ht="15" hidden="false" customHeight="false" outlineLevel="0" collapsed="false">
      <c r="A18" s="22" t="s">
        <v>28</v>
      </c>
      <c r="B18" s="23" t="n">
        <f aca="false">B16+B17</f>
        <v>908</v>
      </c>
      <c r="C18" s="23" t="n">
        <f aca="false">C16</f>
        <v>708</v>
      </c>
      <c r="D18" s="24" t="s">
        <v>27</v>
      </c>
      <c r="E18" s="23" t="n">
        <f aca="false">E16</f>
        <v>708</v>
      </c>
      <c r="F18" s="23" t="n">
        <f aca="false">F16</f>
        <v>55</v>
      </c>
      <c r="G18" s="23" t="n">
        <f aca="false">G16</f>
        <v>30</v>
      </c>
      <c r="H18" s="23" t="n">
        <f aca="false">H16+H17</f>
        <v>115</v>
      </c>
      <c r="I18" s="23" t="n">
        <f aca="false">I16</f>
        <v>23</v>
      </c>
      <c r="J18" s="23" t="n">
        <f aca="false">J16</f>
        <v>1</v>
      </c>
    </row>
    <row r="20" customFormat="false" ht="15" hidden="false" customHeight="false" outlineLevel="0" collapsed="false">
      <c r="A20" s="25" t="s">
        <v>29</v>
      </c>
      <c r="B20" s="26" t="str">
        <f aca="false">E18&amp;" + "&amp;F18&amp;" + "&amp;G18&amp;" + "&amp;H18&amp;" = "&amp;(E18+F18+G18+H18)</f>
        <v>708 + 55 + 30 + 115 = 908</v>
      </c>
      <c r="C20" s="26"/>
      <c r="D20" s="26"/>
      <c r="E20" s="26"/>
      <c r="F20" s="26"/>
      <c r="G20" s="27" t="str">
        <f aca="false">IF(E18+F18+G18+H18=B18,"100% fechado","Verificar")</f>
        <v>100% fechado</v>
      </c>
      <c r="H20" s="27"/>
    </row>
    <row r="21" customFormat="false" ht="15" hidden="false" customHeight="false" outlineLevel="0" collapsed="false">
      <c r="A21" s="28" t="s">
        <v>30</v>
      </c>
    </row>
    <row r="23" customFormat="false" ht="15" hidden="false" customHeight="false" outlineLevel="0" collapsed="false">
      <c r="A23" s="29" t="s">
        <v>31</v>
      </c>
    </row>
    <row r="24" customFormat="false" ht="15" hidden="false" customHeight="false" outlineLevel="0" collapsed="false">
      <c r="A24" s="6" t="s">
        <v>32</v>
      </c>
      <c r="B24" s="6" t="s">
        <v>33</v>
      </c>
      <c r="C24" s="6" t="s">
        <v>34</v>
      </c>
    </row>
    <row r="25" customFormat="false" ht="15" hidden="false" customHeight="false" outlineLevel="0" collapsed="false">
      <c r="A25" s="30" t="s">
        <v>35</v>
      </c>
      <c r="B25" s="31" t="n">
        <f aca="false">COUNTIF(Itens!$Q$5:$Q$112,A25)</f>
        <v>108</v>
      </c>
      <c r="C25" s="32" t="n">
        <f aca="false">IFERROR(B25/COUNTA(Itens!$A$5:$A$112),0)</f>
        <v>1</v>
      </c>
    </row>
    <row r="26" customFormat="false" ht="15" hidden="false" customHeight="false" outlineLevel="0" collapsed="false">
      <c r="A26" s="30" t="s">
        <v>36</v>
      </c>
      <c r="B26" s="31" t="n">
        <f aca="false">COUNTIF(Itens!$Q$5:$Q$112,A26)</f>
        <v>0</v>
      </c>
      <c r="C26" s="32" t="n">
        <f aca="false">IFERROR(B26/COUNTA(Itens!$A$5:$A$112),0)</f>
        <v>0</v>
      </c>
    </row>
    <row r="27" customFormat="false" ht="15" hidden="false" customHeight="false" outlineLevel="0" collapsed="false">
      <c r="A27" s="30" t="s">
        <v>37</v>
      </c>
      <c r="B27" s="31" t="n">
        <f aca="false">COUNTIF(Itens!$Q$5:$Q$112,A27)</f>
        <v>0</v>
      </c>
      <c r="C27" s="32" t="n">
        <f aca="false">IFERROR(B27/COUNTA(Itens!$A$5:$A$112),0)</f>
        <v>0</v>
      </c>
    </row>
    <row r="28" customFormat="false" ht="15" hidden="false" customHeight="false" outlineLevel="0" collapsed="false">
      <c r="A28" s="30" t="s">
        <v>38</v>
      </c>
      <c r="B28" s="31" t="n">
        <f aca="false">COUNTIF(Itens!$Q$5:$Q$112,A28)</f>
        <v>0</v>
      </c>
      <c r="C28" s="32" t="n">
        <f aca="false">IFERROR(B28/COUNTA(Itens!$A$5:$A$112),0)</f>
        <v>0</v>
      </c>
    </row>
    <row r="29" customFormat="false" ht="15" hidden="false" customHeight="false" outlineLevel="0" collapsed="false">
      <c r="A29" s="33" t="s">
        <v>39</v>
      </c>
      <c r="B29" s="34" t="n">
        <f aca="false">COUNTA(Itens!$A$5:$A$112)</f>
        <v>108</v>
      </c>
      <c r="C29" s="35" t="n">
        <f aca="false">SUM(C25:C28)</f>
        <v>1</v>
      </c>
    </row>
  </sheetData>
  <mergeCells count="5">
    <mergeCell ref="B4:D4"/>
    <mergeCell ref="E4:H4"/>
    <mergeCell ref="I4:J4"/>
    <mergeCell ref="B20:F20"/>
    <mergeCell ref="G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32D"/>
    <pageSetUpPr fitToPage="false"/>
  </sheetPr>
  <dimension ref="A1:Q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48"/>
    <col collapsed="false" customWidth="true" hidden="false" outlineLevel="0" max="13" min="13" style="0" width="28"/>
    <col collapsed="false" customWidth="true" hidden="false" outlineLevel="0" max="14" min="14" style="0" width="48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4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5.05" hidden="false" customHeight="false" outlineLevel="0" collapsed="false">
      <c r="A4" s="6" t="s">
        <v>42</v>
      </c>
      <c r="B4" s="6" t="s">
        <v>5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8</v>
      </c>
      <c r="H4" s="6" t="s">
        <v>47</v>
      </c>
      <c r="I4" s="6" t="s">
        <v>48</v>
      </c>
      <c r="J4" s="6" t="s">
        <v>49</v>
      </c>
      <c r="K4" s="6" t="s">
        <v>50</v>
      </c>
      <c r="L4" s="6" t="s">
        <v>51</v>
      </c>
      <c r="M4" s="6" t="s">
        <v>52</v>
      </c>
      <c r="N4" s="36" t="s">
        <v>53</v>
      </c>
      <c r="O4" s="36" t="s">
        <v>54</v>
      </c>
      <c r="P4" s="36" t="s">
        <v>55</v>
      </c>
      <c r="Q4" s="36" t="s">
        <v>32</v>
      </c>
    </row>
    <row r="5" customFormat="false" ht="23.85" hidden="false" customHeight="false" outlineLevel="0" collapsed="false">
      <c r="A5" s="37" t="s">
        <v>56</v>
      </c>
      <c r="B5" s="38" t="s">
        <v>20</v>
      </c>
      <c r="C5" s="39" t="s">
        <v>57</v>
      </c>
      <c r="D5" s="38" t="s">
        <v>58</v>
      </c>
      <c r="E5" s="38" t="s">
        <v>59</v>
      </c>
      <c r="F5" s="38" t="s">
        <v>60</v>
      </c>
      <c r="G5" s="39" t="s">
        <v>61</v>
      </c>
      <c r="H5" s="39" t="s">
        <v>62</v>
      </c>
      <c r="I5" s="38" t="s">
        <v>63</v>
      </c>
      <c r="J5" s="39"/>
      <c r="K5" s="39" t="s">
        <v>62</v>
      </c>
      <c r="L5" s="38"/>
      <c r="M5" s="38"/>
      <c r="N5" s="40" t="s">
        <v>64</v>
      </c>
      <c r="O5" s="40"/>
      <c r="P5" s="41" t="n">
        <v>46310</v>
      </c>
      <c r="Q5" s="42" t="s">
        <v>35</v>
      </c>
    </row>
    <row r="6" customFormat="false" ht="35.05" hidden="false" customHeight="false" outlineLevel="0" collapsed="false">
      <c r="A6" s="37" t="s">
        <v>65</v>
      </c>
      <c r="B6" s="38" t="s">
        <v>20</v>
      </c>
      <c r="C6" s="39" t="s">
        <v>57</v>
      </c>
      <c r="D6" s="38" t="s">
        <v>58</v>
      </c>
      <c r="E6" s="38" t="s">
        <v>59</v>
      </c>
      <c r="F6" s="38" t="s">
        <v>66</v>
      </c>
      <c r="G6" s="39" t="s">
        <v>61</v>
      </c>
      <c r="H6" s="39" t="s">
        <v>62</v>
      </c>
      <c r="I6" s="38" t="s">
        <v>63</v>
      </c>
      <c r="J6" s="39"/>
      <c r="K6" s="39" t="s">
        <v>62</v>
      </c>
      <c r="L6" s="38"/>
      <c r="M6" s="38"/>
      <c r="N6" s="40"/>
      <c r="O6" s="40"/>
      <c r="P6" s="41"/>
      <c r="Q6" s="42" t="s">
        <v>35</v>
      </c>
    </row>
    <row r="7" customFormat="false" ht="35.05" hidden="false" customHeight="false" outlineLevel="0" collapsed="false">
      <c r="A7" s="37" t="s">
        <v>67</v>
      </c>
      <c r="B7" s="38" t="s">
        <v>20</v>
      </c>
      <c r="C7" s="39" t="s">
        <v>57</v>
      </c>
      <c r="D7" s="38" t="s">
        <v>58</v>
      </c>
      <c r="E7" s="38" t="s">
        <v>68</v>
      </c>
      <c r="F7" s="38" t="s">
        <v>69</v>
      </c>
      <c r="G7" s="39" t="s">
        <v>61</v>
      </c>
      <c r="H7" s="39" t="s">
        <v>62</v>
      </c>
      <c r="I7" s="38" t="s">
        <v>63</v>
      </c>
      <c r="J7" s="39"/>
      <c r="K7" s="39" t="s">
        <v>62</v>
      </c>
      <c r="L7" s="38"/>
      <c r="M7" s="38"/>
      <c r="N7" s="40"/>
      <c r="O7" s="40"/>
      <c r="P7" s="41"/>
      <c r="Q7" s="42" t="s">
        <v>35</v>
      </c>
    </row>
    <row r="8" customFormat="false" ht="23.85" hidden="false" customHeight="false" outlineLevel="0" collapsed="false">
      <c r="A8" s="37" t="s">
        <v>70</v>
      </c>
      <c r="B8" s="38" t="s">
        <v>20</v>
      </c>
      <c r="C8" s="39" t="s">
        <v>57</v>
      </c>
      <c r="D8" s="38" t="s">
        <v>58</v>
      </c>
      <c r="E8" s="38" t="s">
        <v>71</v>
      </c>
      <c r="F8" s="38" t="s">
        <v>72</v>
      </c>
      <c r="G8" s="39" t="s">
        <v>73</v>
      </c>
      <c r="H8" s="39" t="s">
        <v>62</v>
      </c>
      <c r="I8" s="38" t="s">
        <v>63</v>
      </c>
      <c r="J8" s="39"/>
      <c r="K8" s="39" t="s">
        <v>62</v>
      </c>
      <c r="L8" s="38"/>
      <c r="M8" s="38"/>
      <c r="N8" s="40"/>
      <c r="O8" s="40"/>
      <c r="P8" s="41"/>
      <c r="Q8" s="42" t="s">
        <v>35</v>
      </c>
    </row>
    <row r="9" customFormat="false" ht="35.05" hidden="false" customHeight="false" outlineLevel="0" collapsed="false">
      <c r="A9" s="37" t="s">
        <v>74</v>
      </c>
      <c r="B9" s="38" t="s">
        <v>20</v>
      </c>
      <c r="C9" s="39" t="s">
        <v>57</v>
      </c>
      <c r="D9" s="38" t="s">
        <v>58</v>
      </c>
      <c r="E9" s="38" t="s">
        <v>68</v>
      </c>
      <c r="F9" s="38" t="s">
        <v>75</v>
      </c>
      <c r="G9" s="39" t="s">
        <v>73</v>
      </c>
      <c r="H9" s="39" t="s">
        <v>62</v>
      </c>
      <c r="I9" s="38" t="s">
        <v>63</v>
      </c>
      <c r="J9" s="39"/>
      <c r="K9" s="39" t="s">
        <v>62</v>
      </c>
      <c r="L9" s="38"/>
      <c r="M9" s="38"/>
      <c r="N9" s="40"/>
      <c r="O9" s="40"/>
      <c r="P9" s="41"/>
      <c r="Q9" s="42" t="s">
        <v>35</v>
      </c>
    </row>
    <row r="10" customFormat="false" ht="23.85" hidden="false" customHeight="false" outlineLevel="0" collapsed="false">
      <c r="A10" s="37" t="s">
        <v>76</v>
      </c>
      <c r="B10" s="38" t="s">
        <v>20</v>
      </c>
      <c r="C10" s="39" t="s">
        <v>57</v>
      </c>
      <c r="D10" s="38" t="s">
        <v>58</v>
      </c>
      <c r="E10" s="38" t="s">
        <v>77</v>
      </c>
      <c r="F10" s="38" t="s">
        <v>78</v>
      </c>
      <c r="G10" s="39" t="s">
        <v>73</v>
      </c>
      <c r="H10" s="39" t="s">
        <v>62</v>
      </c>
      <c r="I10" s="38" t="s">
        <v>63</v>
      </c>
      <c r="J10" s="39"/>
      <c r="K10" s="39" t="s">
        <v>62</v>
      </c>
      <c r="L10" s="38"/>
      <c r="M10" s="38"/>
      <c r="N10" s="40"/>
      <c r="O10" s="40"/>
      <c r="P10" s="41"/>
      <c r="Q10" s="42" t="s">
        <v>35</v>
      </c>
    </row>
    <row r="11" customFormat="false" ht="23.85" hidden="false" customHeight="false" outlineLevel="0" collapsed="false">
      <c r="A11" s="37" t="s">
        <v>79</v>
      </c>
      <c r="B11" s="38" t="s">
        <v>20</v>
      </c>
      <c r="C11" s="39" t="s">
        <v>57</v>
      </c>
      <c r="D11" s="38" t="s">
        <v>58</v>
      </c>
      <c r="E11" s="38" t="s">
        <v>77</v>
      </c>
      <c r="F11" s="38" t="s">
        <v>80</v>
      </c>
      <c r="G11" s="39" t="s">
        <v>73</v>
      </c>
      <c r="H11" s="39" t="s">
        <v>62</v>
      </c>
      <c r="I11" s="38" t="s">
        <v>63</v>
      </c>
      <c r="J11" s="39"/>
      <c r="K11" s="39" t="s">
        <v>62</v>
      </c>
      <c r="L11" s="38"/>
      <c r="M11" s="38"/>
      <c r="N11" s="40"/>
      <c r="O11" s="40"/>
      <c r="P11" s="41"/>
      <c r="Q11" s="42" t="s">
        <v>35</v>
      </c>
    </row>
    <row r="12" customFormat="false" ht="46.25" hidden="false" customHeight="false" outlineLevel="0" collapsed="false">
      <c r="A12" s="37" t="s">
        <v>81</v>
      </c>
      <c r="B12" s="38" t="s">
        <v>20</v>
      </c>
      <c r="C12" s="39" t="s">
        <v>57</v>
      </c>
      <c r="D12" s="38" t="s">
        <v>58</v>
      </c>
      <c r="E12" s="38" t="s">
        <v>82</v>
      </c>
      <c r="F12" s="38" t="s">
        <v>83</v>
      </c>
      <c r="G12" s="39" t="s">
        <v>73</v>
      </c>
      <c r="H12" s="39" t="s">
        <v>62</v>
      </c>
      <c r="I12" s="38" t="s">
        <v>63</v>
      </c>
      <c r="J12" s="39"/>
      <c r="K12" s="39" t="s">
        <v>62</v>
      </c>
      <c r="L12" s="38"/>
      <c r="M12" s="38"/>
      <c r="N12" s="40"/>
      <c r="O12" s="40"/>
      <c r="P12" s="41"/>
      <c r="Q12" s="42" t="s">
        <v>35</v>
      </c>
    </row>
    <row r="13" customFormat="false" ht="46.25" hidden="false" customHeight="false" outlineLevel="0" collapsed="false">
      <c r="A13" s="37" t="s">
        <v>84</v>
      </c>
      <c r="B13" s="38" t="s">
        <v>20</v>
      </c>
      <c r="C13" s="39" t="s">
        <v>57</v>
      </c>
      <c r="D13" s="38" t="s">
        <v>58</v>
      </c>
      <c r="E13" s="38" t="s">
        <v>85</v>
      </c>
      <c r="F13" s="38" t="s">
        <v>86</v>
      </c>
      <c r="G13" s="39" t="s">
        <v>61</v>
      </c>
      <c r="H13" s="39" t="s">
        <v>62</v>
      </c>
      <c r="I13" s="38" t="s">
        <v>63</v>
      </c>
      <c r="J13" s="39"/>
      <c r="K13" s="39" t="s">
        <v>62</v>
      </c>
      <c r="L13" s="38"/>
      <c r="M13" s="38"/>
      <c r="N13" s="40"/>
      <c r="O13" s="40"/>
      <c r="P13" s="41"/>
      <c r="Q13" s="42" t="s">
        <v>35</v>
      </c>
    </row>
    <row r="14" customFormat="false" ht="46.25" hidden="false" customHeight="false" outlineLevel="0" collapsed="false">
      <c r="A14" s="37" t="s">
        <v>87</v>
      </c>
      <c r="B14" s="38" t="s">
        <v>20</v>
      </c>
      <c r="C14" s="39" t="s">
        <v>57</v>
      </c>
      <c r="D14" s="38" t="s">
        <v>58</v>
      </c>
      <c r="E14" s="38" t="s">
        <v>59</v>
      </c>
      <c r="F14" s="38" t="s">
        <v>88</v>
      </c>
      <c r="G14" s="39" t="s">
        <v>73</v>
      </c>
      <c r="H14" s="39" t="s">
        <v>62</v>
      </c>
      <c r="I14" s="38" t="s">
        <v>63</v>
      </c>
      <c r="J14" s="39"/>
      <c r="K14" s="39" t="s">
        <v>62</v>
      </c>
      <c r="L14" s="38"/>
      <c r="M14" s="38"/>
      <c r="N14" s="40"/>
      <c r="O14" s="40"/>
      <c r="P14" s="41"/>
      <c r="Q14" s="42" t="s">
        <v>35</v>
      </c>
    </row>
    <row r="15" customFormat="false" ht="23.85" hidden="false" customHeight="false" outlineLevel="0" collapsed="false">
      <c r="A15" s="37" t="s">
        <v>89</v>
      </c>
      <c r="B15" s="38" t="s">
        <v>20</v>
      </c>
      <c r="C15" s="39" t="s">
        <v>57</v>
      </c>
      <c r="D15" s="38" t="s">
        <v>58</v>
      </c>
      <c r="E15" s="38" t="s">
        <v>59</v>
      </c>
      <c r="F15" s="38" t="s">
        <v>90</v>
      </c>
      <c r="G15" s="39" t="s">
        <v>73</v>
      </c>
      <c r="H15" s="39" t="s">
        <v>62</v>
      </c>
      <c r="I15" s="38" t="s">
        <v>63</v>
      </c>
      <c r="J15" s="39"/>
      <c r="K15" s="39" t="s">
        <v>62</v>
      </c>
      <c r="L15" s="38"/>
      <c r="M15" s="38"/>
      <c r="N15" s="40"/>
      <c r="O15" s="40"/>
      <c r="P15" s="41"/>
      <c r="Q15" s="42" t="s">
        <v>35</v>
      </c>
    </row>
    <row r="16" customFormat="false" ht="23.85" hidden="false" customHeight="false" outlineLevel="0" collapsed="false">
      <c r="A16" s="37" t="s">
        <v>91</v>
      </c>
      <c r="B16" s="38" t="s">
        <v>19</v>
      </c>
      <c r="C16" s="39" t="s">
        <v>57</v>
      </c>
      <c r="D16" s="38" t="s">
        <v>19</v>
      </c>
      <c r="E16" s="38" t="s">
        <v>92</v>
      </c>
      <c r="F16" s="38" t="s">
        <v>93</v>
      </c>
      <c r="G16" s="39" t="s">
        <v>73</v>
      </c>
      <c r="H16" s="39" t="s">
        <v>62</v>
      </c>
      <c r="I16" s="38" t="s">
        <v>94</v>
      </c>
      <c r="J16" s="39"/>
      <c r="K16" s="39" t="s">
        <v>62</v>
      </c>
      <c r="L16" s="38"/>
      <c r="M16" s="38"/>
      <c r="N16" s="40"/>
      <c r="O16" s="40"/>
      <c r="P16" s="41"/>
      <c r="Q16" s="42" t="s">
        <v>35</v>
      </c>
    </row>
    <row r="17" customFormat="false" ht="15" hidden="false" customHeight="false" outlineLevel="0" collapsed="false">
      <c r="A17" s="37" t="s">
        <v>95</v>
      </c>
      <c r="B17" s="38" t="s">
        <v>19</v>
      </c>
      <c r="C17" s="39" t="s">
        <v>57</v>
      </c>
      <c r="D17" s="38" t="s">
        <v>19</v>
      </c>
      <c r="E17" s="38" t="s">
        <v>96</v>
      </c>
      <c r="F17" s="38" t="s">
        <v>97</v>
      </c>
      <c r="G17" s="39" t="s">
        <v>73</v>
      </c>
      <c r="H17" s="39" t="s">
        <v>62</v>
      </c>
      <c r="I17" s="38" t="s">
        <v>94</v>
      </c>
      <c r="J17" s="39"/>
      <c r="K17" s="39" t="s">
        <v>62</v>
      </c>
      <c r="L17" s="38"/>
      <c r="M17" s="38"/>
      <c r="N17" s="40"/>
      <c r="O17" s="40"/>
      <c r="P17" s="41"/>
      <c r="Q17" s="42" t="s">
        <v>35</v>
      </c>
    </row>
    <row r="18" customFormat="false" ht="15" hidden="false" customHeight="false" outlineLevel="0" collapsed="false">
      <c r="A18" s="37" t="s">
        <v>98</v>
      </c>
      <c r="B18" s="38" t="s">
        <v>19</v>
      </c>
      <c r="C18" s="39" t="s">
        <v>57</v>
      </c>
      <c r="D18" s="38" t="s">
        <v>99</v>
      </c>
      <c r="E18" s="38" t="s">
        <v>100</v>
      </c>
      <c r="F18" s="38" t="s">
        <v>101</v>
      </c>
      <c r="G18" s="39" t="s">
        <v>73</v>
      </c>
      <c r="H18" s="39" t="s">
        <v>62</v>
      </c>
      <c r="I18" s="38" t="s">
        <v>63</v>
      </c>
      <c r="J18" s="39"/>
      <c r="K18" s="39" t="s">
        <v>62</v>
      </c>
      <c r="L18" s="38"/>
      <c r="M18" s="38"/>
      <c r="N18" s="40"/>
      <c r="O18" s="40"/>
      <c r="P18" s="41"/>
      <c r="Q18" s="42" t="s">
        <v>35</v>
      </c>
    </row>
    <row r="19" customFormat="false" ht="23.85" hidden="false" customHeight="false" outlineLevel="0" collapsed="false">
      <c r="A19" s="37" t="s">
        <v>102</v>
      </c>
      <c r="B19" s="38" t="s">
        <v>19</v>
      </c>
      <c r="C19" s="39" t="s">
        <v>57</v>
      </c>
      <c r="D19" s="38" t="s">
        <v>99</v>
      </c>
      <c r="E19" s="38" t="s">
        <v>100</v>
      </c>
      <c r="F19" s="38" t="s">
        <v>103</v>
      </c>
      <c r="G19" s="39" t="s">
        <v>73</v>
      </c>
      <c r="H19" s="39" t="s">
        <v>62</v>
      </c>
      <c r="I19" s="38" t="s">
        <v>63</v>
      </c>
      <c r="J19" s="39"/>
      <c r="K19" s="39" t="s">
        <v>62</v>
      </c>
      <c r="L19" s="38"/>
      <c r="M19" s="38"/>
      <c r="N19" s="40"/>
      <c r="O19" s="40"/>
      <c r="P19" s="41"/>
      <c r="Q19" s="42" t="s">
        <v>35</v>
      </c>
    </row>
    <row r="20" customFormat="false" ht="23.85" hidden="false" customHeight="false" outlineLevel="0" collapsed="false">
      <c r="A20" s="37" t="s">
        <v>104</v>
      </c>
      <c r="B20" s="38" t="s">
        <v>19</v>
      </c>
      <c r="C20" s="39" t="s">
        <v>57</v>
      </c>
      <c r="D20" s="38" t="s">
        <v>99</v>
      </c>
      <c r="E20" s="38" t="s">
        <v>100</v>
      </c>
      <c r="F20" s="38" t="s">
        <v>105</v>
      </c>
      <c r="G20" s="39" t="s">
        <v>73</v>
      </c>
      <c r="H20" s="39" t="s">
        <v>62</v>
      </c>
      <c r="I20" s="38" t="s">
        <v>63</v>
      </c>
      <c r="J20" s="39"/>
      <c r="K20" s="39" t="s">
        <v>62</v>
      </c>
      <c r="L20" s="38"/>
      <c r="M20" s="38"/>
      <c r="N20" s="40"/>
      <c r="O20" s="40"/>
      <c r="P20" s="41"/>
      <c r="Q20" s="42" t="s">
        <v>35</v>
      </c>
    </row>
    <row r="21" customFormat="false" ht="15" hidden="false" customHeight="false" outlineLevel="0" collapsed="false">
      <c r="A21" s="37" t="s">
        <v>106</v>
      </c>
      <c r="B21" s="38" t="s">
        <v>19</v>
      </c>
      <c r="C21" s="39" t="s">
        <v>57</v>
      </c>
      <c r="D21" s="38" t="s">
        <v>99</v>
      </c>
      <c r="E21" s="38" t="s">
        <v>100</v>
      </c>
      <c r="F21" s="38" t="s">
        <v>107</v>
      </c>
      <c r="G21" s="39" t="s">
        <v>73</v>
      </c>
      <c r="H21" s="39" t="s">
        <v>62</v>
      </c>
      <c r="I21" s="38" t="s">
        <v>63</v>
      </c>
      <c r="J21" s="39"/>
      <c r="K21" s="39" t="s">
        <v>62</v>
      </c>
      <c r="L21" s="38"/>
      <c r="M21" s="38"/>
      <c r="N21" s="40"/>
      <c r="O21" s="40"/>
      <c r="P21" s="41"/>
      <c r="Q21" s="42" t="s">
        <v>35</v>
      </c>
    </row>
    <row r="22" customFormat="false" ht="15" hidden="false" customHeight="false" outlineLevel="0" collapsed="false">
      <c r="A22" s="37" t="s">
        <v>108</v>
      </c>
      <c r="B22" s="38" t="s">
        <v>19</v>
      </c>
      <c r="C22" s="39" t="s">
        <v>57</v>
      </c>
      <c r="D22" s="38" t="s">
        <v>99</v>
      </c>
      <c r="E22" s="38" t="s">
        <v>100</v>
      </c>
      <c r="F22" s="38" t="s">
        <v>109</v>
      </c>
      <c r="G22" s="39" t="s">
        <v>73</v>
      </c>
      <c r="H22" s="39" t="s">
        <v>62</v>
      </c>
      <c r="I22" s="38" t="s">
        <v>63</v>
      </c>
      <c r="J22" s="39"/>
      <c r="K22" s="39" t="s">
        <v>62</v>
      </c>
      <c r="L22" s="38"/>
      <c r="M22" s="38"/>
      <c r="N22" s="40"/>
      <c r="O22" s="40"/>
      <c r="P22" s="41"/>
      <c r="Q22" s="42" t="s">
        <v>35</v>
      </c>
    </row>
    <row r="23" customFormat="false" ht="35.05" hidden="false" customHeight="false" outlineLevel="0" collapsed="false">
      <c r="A23" s="37" t="s">
        <v>110</v>
      </c>
      <c r="B23" s="38" t="s">
        <v>19</v>
      </c>
      <c r="C23" s="39" t="s">
        <v>57</v>
      </c>
      <c r="D23" s="38" t="s">
        <v>99</v>
      </c>
      <c r="E23" s="38" t="s">
        <v>111</v>
      </c>
      <c r="F23" s="38" t="s">
        <v>112</v>
      </c>
      <c r="G23" s="39" t="s">
        <v>61</v>
      </c>
      <c r="H23" s="39" t="s">
        <v>62</v>
      </c>
      <c r="I23" s="38" t="s">
        <v>63</v>
      </c>
      <c r="J23" s="39"/>
      <c r="K23" s="39" t="s">
        <v>62</v>
      </c>
      <c r="L23" s="38"/>
      <c r="M23" s="38"/>
      <c r="N23" s="40"/>
      <c r="O23" s="40"/>
      <c r="P23" s="41"/>
      <c r="Q23" s="42" t="s">
        <v>35</v>
      </c>
    </row>
    <row r="24" customFormat="false" ht="23.85" hidden="false" customHeight="false" outlineLevel="0" collapsed="false">
      <c r="A24" s="37" t="s">
        <v>113</v>
      </c>
      <c r="B24" s="38" t="s">
        <v>19</v>
      </c>
      <c r="C24" s="39" t="s">
        <v>57</v>
      </c>
      <c r="D24" s="38" t="s">
        <v>99</v>
      </c>
      <c r="E24" s="38" t="s">
        <v>100</v>
      </c>
      <c r="F24" s="38" t="s">
        <v>114</v>
      </c>
      <c r="G24" s="39" t="s">
        <v>73</v>
      </c>
      <c r="H24" s="39" t="s">
        <v>62</v>
      </c>
      <c r="I24" s="38" t="s">
        <v>63</v>
      </c>
      <c r="J24" s="39"/>
      <c r="K24" s="39" t="s">
        <v>62</v>
      </c>
      <c r="L24" s="38"/>
      <c r="M24" s="38"/>
      <c r="N24" s="40"/>
      <c r="O24" s="40"/>
      <c r="P24" s="41"/>
      <c r="Q24" s="42" t="s">
        <v>35</v>
      </c>
    </row>
    <row r="25" customFormat="false" ht="15" hidden="false" customHeight="false" outlineLevel="0" collapsed="false">
      <c r="A25" s="37" t="s">
        <v>115</v>
      </c>
      <c r="B25" s="38" t="s">
        <v>19</v>
      </c>
      <c r="C25" s="39" t="s">
        <v>57</v>
      </c>
      <c r="D25" s="38" t="s">
        <v>99</v>
      </c>
      <c r="E25" s="38" t="s">
        <v>100</v>
      </c>
      <c r="F25" s="38" t="s">
        <v>116</v>
      </c>
      <c r="G25" s="39" t="s">
        <v>73</v>
      </c>
      <c r="H25" s="39" t="s">
        <v>62</v>
      </c>
      <c r="I25" s="38" t="s">
        <v>63</v>
      </c>
      <c r="J25" s="39"/>
      <c r="K25" s="39" t="s">
        <v>62</v>
      </c>
      <c r="L25" s="38"/>
      <c r="M25" s="38"/>
      <c r="N25" s="40"/>
      <c r="O25" s="40"/>
      <c r="P25" s="41"/>
      <c r="Q25" s="42" t="s">
        <v>35</v>
      </c>
    </row>
    <row r="26" customFormat="false" ht="23.85" hidden="false" customHeight="false" outlineLevel="0" collapsed="false">
      <c r="A26" s="37" t="s">
        <v>117</v>
      </c>
      <c r="B26" s="38" t="s">
        <v>19</v>
      </c>
      <c r="C26" s="39" t="s">
        <v>57</v>
      </c>
      <c r="D26" s="38" t="s">
        <v>99</v>
      </c>
      <c r="E26" s="38" t="s">
        <v>100</v>
      </c>
      <c r="F26" s="38" t="s">
        <v>118</v>
      </c>
      <c r="G26" s="39" t="s">
        <v>73</v>
      </c>
      <c r="H26" s="39" t="s">
        <v>62</v>
      </c>
      <c r="I26" s="38" t="s">
        <v>63</v>
      </c>
      <c r="J26" s="39"/>
      <c r="K26" s="39" t="s">
        <v>62</v>
      </c>
      <c r="L26" s="38"/>
      <c r="M26" s="38"/>
      <c r="N26" s="40"/>
      <c r="O26" s="40"/>
      <c r="P26" s="41"/>
      <c r="Q26" s="42" t="s">
        <v>35</v>
      </c>
    </row>
    <row r="27" customFormat="false" ht="35.05" hidden="false" customHeight="false" outlineLevel="0" collapsed="false">
      <c r="A27" s="37" t="s">
        <v>119</v>
      </c>
      <c r="B27" s="38" t="s">
        <v>19</v>
      </c>
      <c r="C27" s="39" t="s">
        <v>57</v>
      </c>
      <c r="D27" s="38" t="s">
        <v>99</v>
      </c>
      <c r="E27" s="38" t="s">
        <v>100</v>
      </c>
      <c r="F27" s="38" t="s">
        <v>120</v>
      </c>
      <c r="G27" s="39" t="s">
        <v>73</v>
      </c>
      <c r="H27" s="39" t="s">
        <v>62</v>
      </c>
      <c r="I27" s="38" t="s">
        <v>63</v>
      </c>
      <c r="J27" s="39"/>
      <c r="K27" s="39" t="s">
        <v>62</v>
      </c>
      <c r="L27" s="38"/>
      <c r="M27" s="38"/>
      <c r="N27" s="40"/>
      <c r="O27" s="40"/>
      <c r="P27" s="41"/>
      <c r="Q27" s="42" t="s">
        <v>35</v>
      </c>
    </row>
    <row r="28" customFormat="false" ht="15" hidden="false" customHeight="false" outlineLevel="0" collapsed="false">
      <c r="A28" s="37" t="s">
        <v>121</v>
      </c>
      <c r="B28" s="38" t="s">
        <v>19</v>
      </c>
      <c r="C28" s="39" t="s">
        <v>57</v>
      </c>
      <c r="D28" s="38" t="s">
        <v>99</v>
      </c>
      <c r="E28" s="38" t="s">
        <v>122</v>
      </c>
      <c r="F28" s="38" t="s">
        <v>123</v>
      </c>
      <c r="G28" s="39" t="s">
        <v>73</v>
      </c>
      <c r="H28" s="39" t="s">
        <v>62</v>
      </c>
      <c r="I28" s="38" t="s">
        <v>63</v>
      </c>
      <c r="J28" s="39"/>
      <c r="K28" s="39" t="s">
        <v>62</v>
      </c>
      <c r="L28" s="38"/>
      <c r="M28" s="38"/>
      <c r="N28" s="40"/>
      <c r="O28" s="40"/>
      <c r="P28" s="41"/>
      <c r="Q28" s="42" t="s">
        <v>35</v>
      </c>
    </row>
    <row r="29" customFormat="false" ht="15" hidden="false" customHeight="false" outlineLevel="0" collapsed="false">
      <c r="A29" s="37" t="s">
        <v>124</v>
      </c>
      <c r="B29" s="38" t="s">
        <v>19</v>
      </c>
      <c r="C29" s="39" t="s">
        <v>57</v>
      </c>
      <c r="D29" s="38" t="s">
        <v>99</v>
      </c>
      <c r="E29" s="38" t="s">
        <v>122</v>
      </c>
      <c r="F29" s="38" t="s">
        <v>125</v>
      </c>
      <c r="G29" s="39" t="s">
        <v>61</v>
      </c>
      <c r="H29" s="39" t="s">
        <v>62</v>
      </c>
      <c r="I29" s="38" t="s">
        <v>63</v>
      </c>
      <c r="J29" s="39"/>
      <c r="K29" s="39" t="s">
        <v>62</v>
      </c>
      <c r="L29" s="38"/>
      <c r="M29" s="38"/>
      <c r="N29" s="40"/>
      <c r="O29" s="40"/>
      <c r="P29" s="41"/>
      <c r="Q29" s="42" t="s">
        <v>35</v>
      </c>
    </row>
    <row r="30" customFormat="false" ht="15" hidden="false" customHeight="false" outlineLevel="0" collapsed="false">
      <c r="A30" s="37" t="s">
        <v>126</v>
      </c>
      <c r="B30" s="38" t="s">
        <v>19</v>
      </c>
      <c r="C30" s="39" t="s">
        <v>57</v>
      </c>
      <c r="D30" s="38" t="s">
        <v>99</v>
      </c>
      <c r="E30" s="38" t="s">
        <v>122</v>
      </c>
      <c r="F30" s="38" t="s">
        <v>127</v>
      </c>
      <c r="G30" s="39" t="s">
        <v>73</v>
      </c>
      <c r="H30" s="39" t="s">
        <v>62</v>
      </c>
      <c r="I30" s="38" t="s">
        <v>63</v>
      </c>
      <c r="J30" s="39"/>
      <c r="K30" s="39" t="s">
        <v>62</v>
      </c>
      <c r="L30" s="38"/>
      <c r="M30" s="38"/>
      <c r="N30" s="40"/>
      <c r="O30" s="40"/>
      <c r="P30" s="41"/>
      <c r="Q30" s="42" t="s">
        <v>35</v>
      </c>
    </row>
    <row r="31" customFormat="false" ht="15" hidden="false" customHeight="false" outlineLevel="0" collapsed="false">
      <c r="A31" s="37" t="s">
        <v>128</v>
      </c>
      <c r="B31" s="38" t="s">
        <v>19</v>
      </c>
      <c r="C31" s="39" t="s">
        <v>57</v>
      </c>
      <c r="D31" s="38" t="s">
        <v>99</v>
      </c>
      <c r="E31" s="38" t="s">
        <v>122</v>
      </c>
      <c r="F31" s="38" t="s">
        <v>129</v>
      </c>
      <c r="G31" s="39" t="s">
        <v>73</v>
      </c>
      <c r="H31" s="39" t="s">
        <v>62</v>
      </c>
      <c r="I31" s="38" t="s">
        <v>63</v>
      </c>
      <c r="J31" s="39"/>
      <c r="K31" s="39" t="s">
        <v>62</v>
      </c>
      <c r="L31" s="38"/>
      <c r="M31" s="38"/>
      <c r="N31" s="40"/>
      <c r="O31" s="40"/>
      <c r="P31" s="41"/>
      <c r="Q31" s="42" t="s">
        <v>35</v>
      </c>
    </row>
    <row r="32" customFormat="false" ht="15" hidden="false" customHeight="false" outlineLevel="0" collapsed="false">
      <c r="A32" s="37" t="s">
        <v>130</v>
      </c>
      <c r="B32" s="38" t="s">
        <v>19</v>
      </c>
      <c r="C32" s="39" t="s">
        <v>57</v>
      </c>
      <c r="D32" s="38" t="s">
        <v>99</v>
      </c>
      <c r="E32" s="38" t="s">
        <v>122</v>
      </c>
      <c r="F32" s="38" t="s">
        <v>131</v>
      </c>
      <c r="G32" s="39" t="s">
        <v>73</v>
      </c>
      <c r="H32" s="39" t="s">
        <v>62</v>
      </c>
      <c r="I32" s="38" t="s">
        <v>63</v>
      </c>
      <c r="J32" s="39"/>
      <c r="K32" s="39" t="s">
        <v>62</v>
      </c>
      <c r="L32" s="38"/>
      <c r="M32" s="38"/>
      <c r="N32" s="40"/>
      <c r="O32" s="40"/>
      <c r="P32" s="41"/>
      <c r="Q32" s="42" t="s">
        <v>35</v>
      </c>
    </row>
    <row r="33" customFormat="false" ht="23.85" hidden="false" customHeight="false" outlineLevel="0" collapsed="false">
      <c r="A33" s="37" t="s">
        <v>132</v>
      </c>
      <c r="B33" s="38" t="s">
        <v>19</v>
      </c>
      <c r="C33" s="39" t="s">
        <v>57</v>
      </c>
      <c r="D33" s="38" t="s">
        <v>99</v>
      </c>
      <c r="E33" s="38" t="s">
        <v>133</v>
      </c>
      <c r="F33" s="38" t="s">
        <v>134</v>
      </c>
      <c r="G33" s="39" t="s">
        <v>73</v>
      </c>
      <c r="H33" s="39" t="s">
        <v>62</v>
      </c>
      <c r="I33" s="38" t="s">
        <v>63</v>
      </c>
      <c r="J33" s="39"/>
      <c r="K33" s="39" t="s">
        <v>62</v>
      </c>
      <c r="L33" s="38"/>
      <c r="M33" s="38"/>
      <c r="N33" s="40"/>
      <c r="O33" s="40"/>
      <c r="P33" s="41"/>
      <c r="Q33" s="42" t="s">
        <v>35</v>
      </c>
    </row>
    <row r="34" customFormat="false" ht="35.05" hidden="false" customHeight="false" outlineLevel="0" collapsed="false">
      <c r="A34" s="37" t="s">
        <v>135</v>
      </c>
      <c r="B34" s="38" t="s">
        <v>19</v>
      </c>
      <c r="C34" s="39" t="s">
        <v>57</v>
      </c>
      <c r="D34" s="38" t="s">
        <v>99</v>
      </c>
      <c r="E34" s="38" t="s">
        <v>136</v>
      </c>
      <c r="F34" s="38" t="s">
        <v>137</v>
      </c>
      <c r="G34" s="39" t="s">
        <v>73</v>
      </c>
      <c r="H34" s="39" t="s">
        <v>62</v>
      </c>
      <c r="I34" s="38" t="s">
        <v>63</v>
      </c>
      <c r="J34" s="39"/>
      <c r="K34" s="39" t="s">
        <v>62</v>
      </c>
      <c r="L34" s="38"/>
      <c r="M34" s="38"/>
      <c r="N34" s="40"/>
      <c r="O34" s="40"/>
      <c r="P34" s="41"/>
      <c r="Q34" s="42" t="s">
        <v>35</v>
      </c>
    </row>
    <row r="35" customFormat="false" ht="23.85" hidden="false" customHeight="false" outlineLevel="0" collapsed="false">
      <c r="A35" s="37" t="s">
        <v>138</v>
      </c>
      <c r="B35" s="38" t="s">
        <v>19</v>
      </c>
      <c r="C35" s="39" t="s">
        <v>57</v>
      </c>
      <c r="D35" s="38" t="s">
        <v>99</v>
      </c>
      <c r="E35" s="38" t="s">
        <v>139</v>
      </c>
      <c r="F35" s="38" t="s">
        <v>140</v>
      </c>
      <c r="G35" s="39" t="s">
        <v>73</v>
      </c>
      <c r="H35" s="39" t="s">
        <v>62</v>
      </c>
      <c r="I35" s="38" t="s">
        <v>63</v>
      </c>
      <c r="J35" s="39"/>
      <c r="K35" s="39" t="s">
        <v>62</v>
      </c>
      <c r="L35" s="38"/>
      <c r="M35" s="38"/>
      <c r="N35" s="40"/>
      <c r="O35" s="40"/>
      <c r="P35" s="41"/>
      <c r="Q35" s="42" t="s">
        <v>35</v>
      </c>
    </row>
    <row r="36" customFormat="false" ht="23.85" hidden="false" customHeight="false" outlineLevel="0" collapsed="false">
      <c r="A36" s="37" t="s">
        <v>141</v>
      </c>
      <c r="B36" s="38" t="s">
        <v>19</v>
      </c>
      <c r="C36" s="39" t="s">
        <v>57</v>
      </c>
      <c r="D36" s="38" t="s">
        <v>99</v>
      </c>
      <c r="E36" s="38" t="s">
        <v>139</v>
      </c>
      <c r="F36" s="38" t="s">
        <v>142</v>
      </c>
      <c r="G36" s="39" t="s">
        <v>73</v>
      </c>
      <c r="H36" s="39" t="s">
        <v>62</v>
      </c>
      <c r="I36" s="38" t="s">
        <v>63</v>
      </c>
      <c r="J36" s="39"/>
      <c r="K36" s="39" t="s">
        <v>62</v>
      </c>
      <c r="L36" s="38"/>
      <c r="M36" s="38"/>
      <c r="N36" s="40"/>
      <c r="O36" s="40"/>
      <c r="P36" s="41"/>
      <c r="Q36" s="42" t="s">
        <v>35</v>
      </c>
    </row>
    <row r="37" customFormat="false" ht="15" hidden="false" customHeight="false" outlineLevel="0" collapsed="false">
      <c r="A37" s="37" t="s">
        <v>143</v>
      </c>
      <c r="B37" s="38" t="s">
        <v>19</v>
      </c>
      <c r="C37" s="39" t="s">
        <v>57</v>
      </c>
      <c r="D37" s="38" t="s">
        <v>99</v>
      </c>
      <c r="E37" s="38" t="s">
        <v>122</v>
      </c>
      <c r="F37" s="38" t="s">
        <v>144</v>
      </c>
      <c r="G37" s="39" t="s">
        <v>73</v>
      </c>
      <c r="H37" s="39" t="s">
        <v>62</v>
      </c>
      <c r="I37" s="38" t="s">
        <v>63</v>
      </c>
      <c r="J37" s="39"/>
      <c r="K37" s="39" t="s">
        <v>62</v>
      </c>
      <c r="L37" s="38"/>
      <c r="M37" s="38"/>
      <c r="N37" s="40"/>
      <c r="O37" s="40"/>
      <c r="P37" s="41"/>
      <c r="Q37" s="42" t="s">
        <v>35</v>
      </c>
    </row>
    <row r="38" customFormat="false" ht="23.85" hidden="false" customHeight="false" outlineLevel="0" collapsed="false">
      <c r="A38" s="37" t="s">
        <v>145</v>
      </c>
      <c r="B38" s="38" t="s">
        <v>19</v>
      </c>
      <c r="C38" s="39" t="s">
        <v>57</v>
      </c>
      <c r="D38" s="38" t="s">
        <v>99</v>
      </c>
      <c r="E38" s="38" t="s">
        <v>100</v>
      </c>
      <c r="F38" s="38" t="s">
        <v>146</v>
      </c>
      <c r="G38" s="39" t="s">
        <v>73</v>
      </c>
      <c r="H38" s="39" t="s">
        <v>62</v>
      </c>
      <c r="I38" s="38" t="s">
        <v>63</v>
      </c>
      <c r="J38" s="39"/>
      <c r="K38" s="39" t="s">
        <v>62</v>
      </c>
      <c r="L38" s="38"/>
      <c r="M38" s="38"/>
      <c r="N38" s="40"/>
      <c r="O38" s="40"/>
      <c r="P38" s="41"/>
      <c r="Q38" s="42" t="s">
        <v>35</v>
      </c>
    </row>
    <row r="39" customFormat="false" ht="23.85" hidden="false" customHeight="false" outlineLevel="0" collapsed="false">
      <c r="A39" s="37" t="s">
        <v>147</v>
      </c>
      <c r="B39" s="38" t="s">
        <v>19</v>
      </c>
      <c r="C39" s="39" t="s">
        <v>57</v>
      </c>
      <c r="D39" s="38" t="s">
        <v>148</v>
      </c>
      <c r="E39" s="38" t="s">
        <v>149</v>
      </c>
      <c r="F39" s="38" t="s">
        <v>150</v>
      </c>
      <c r="G39" s="39" t="s">
        <v>73</v>
      </c>
      <c r="H39" s="39" t="s">
        <v>62</v>
      </c>
      <c r="I39" s="38" t="s">
        <v>63</v>
      </c>
      <c r="J39" s="39"/>
      <c r="K39" s="39" t="s">
        <v>62</v>
      </c>
      <c r="L39" s="38"/>
      <c r="M39" s="38"/>
      <c r="N39" s="40"/>
      <c r="O39" s="40"/>
      <c r="P39" s="41"/>
      <c r="Q39" s="42" t="s">
        <v>35</v>
      </c>
    </row>
    <row r="40" customFormat="false" ht="23.85" hidden="false" customHeight="false" outlineLevel="0" collapsed="false">
      <c r="A40" s="37" t="s">
        <v>151</v>
      </c>
      <c r="B40" s="38" t="s">
        <v>19</v>
      </c>
      <c r="C40" s="39" t="s">
        <v>57</v>
      </c>
      <c r="D40" s="38" t="s">
        <v>148</v>
      </c>
      <c r="E40" s="38" t="s">
        <v>152</v>
      </c>
      <c r="F40" s="38" t="s">
        <v>153</v>
      </c>
      <c r="G40" s="39" t="s">
        <v>73</v>
      </c>
      <c r="H40" s="39" t="s">
        <v>62</v>
      </c>
      <c r="I40" s="38" t="s">
        <v>154</v>
      </c>
      <c r="J40" s="39"/>
      <c r="K40" s="39" t="s">
        <v>62</v>
      </c>
      <c r="L40" s="38"/>
      <c r="M40" s="38"/>
      <c r="N40" s="40"/>
      <c r="O40" s="40"/>
      <c r="P40" s="41"/>
      <c r="Q40" s="42" t="s">
        <v>35</v>
      </c>
    </row>
    <row r="41" customFormat="false" ht="23.85" hidden="false" customHeight="false" outlineLevel="0" collapsed="false">
      <c r="A41" s="37" t="s">
        <v>155</v>
      </c>
      <c r="B41" s="38" t="s">
        <v>19</v>
      </c>
      <c r="C41" s="39" t="s">
        <v>57</v>
      </c>
      <c r="D41" s="38" t="s">
        <v>148</v>
      </c>
      <c r="E41" s="38" t="s">
        <v>156</v>
      </c>
      <c r="F41" s="38" t="s">
        <v>157</v>
      </c>
      <c r="G41" s="39" t="s">
        <v>61</v>
      </c>
      <c r="H41" s="39" t="s">
        <v>62</v>
      </c>
      <c r="I41" s="38" t="s">
        <v>158</v>
      </c>
      <c r="J41" s="39"/>
      <c r="K41" s="39" t="s">
        <v>62</v>
      </c>
      <c r="L41" s="38"/>
      <c r="M41" s="38"/>
      <c r="N41" s="40"/>
      <c r="O41" s="40"/>
      <c r="P41" s="41"/>
      <c r="Q41" s="42" t="s">
        <v>35</v>
      </c>
    </row>
    <row r="42" customFormat="false" ht="23.85" hidden="false" customHeight="false" outlineLevel="0" collapsed="false">
      <c r="A42" s="37" t="s">
        <v>159</v>
      </c>
      <c r="B42" s="38" t="s">
        <v>19</v>
      </c>
      <c r="C42" s="39" t="s">
        <v>57</v>
      </c>
      <c r="D42" s="38" t="s">
        <v>148</v>
      </c>
      <c r="E42" s="38" t="s">
        <v>160</v>
      </c>
      <c r="F42" s="38" t="s">
        <v>161</v>
      </c>
      <c r="G42" s="39" t="s">
        <v>73</v>
      </c>
      <c r="H42" s="39" t="s">
        <v>62</v>
      </c>
      <c r="I42" s="38" t="s">
        <v>63</v>
      </c>
      <c r="J42" s="39"/>
      <c r="K42" s="39" t="s">
        <v>62</v>
      </c>
      <c r="L42" s="38"/>
      <c r="M42" s="38"/>
      <c r="N42" s="40"/>
      <c r="O42" s="40"/>
      <c r="P42" s="41"/>
      <c r="Q42" s="42" t="s">
        <v>35</v>
      </c>
    </row>
    <row r="43" customFormat="false" ht="23.85" hidden="false" customHeight="false" outlineLevel="0" collapsed="false">
      <c r="A43" s="37" t="s">
        <v>162</v>
      </c>
      <c r="B43" s="38" t="s">
        <v>19</v>
      </c>
      <c r="C43" s="39" t="s">
        <v>57</v>
      </c>
      <c r="D43" s="38" t="s">
        <v>148</v>
      </c>
      <c r="E43" s="38" t="s">
        <v>160</v>
      </c>
      <c r="F43" s="38" t="s">
        <v>163</v>
      </c>
      <c r="G43" s="39" t="s">
        <v>73</v>
      </c>
      <c r="H43" s="39" t="s">
        <v>62</v>
      </c>
      <c r="I43" s="38" t="s">
        <v>63</v>
      </c>
      <c r="J43" s="39"/>
      <c r="K43" s="39" t="s">
        <v>62</v>
      </c>
      <c r="L43" s="38"/>
      <c r="M43" s="38"/>
      <c r="N43" s="40"/>
      <c r="O43" s="40"/>
      <c r="P43" s="41"/>
      <c r="Q43" s="42" t="s">
        <v>35</v>
      </c>
    </row>
    <row r="44" customFormat="false" ht="23.85" hidden="false" customHeight="false" outlineLevel="0" collapsed="false">
      <c r="A44" s="37" t="s">
        <v>164</v>
      </c>
      <c r="B44" s="38" t="s">
        <v>19</v>
      </c>
      <c r="C44" s="39" t="s">
        <v>57</v>
      </c>
      <c r="D44" s="38" t="s">
        <v>148</v>
      </c>
      <c r="E44" s="38" t="s">
        <v>160</v>
      </c>
      <c r="F44" s="38" t="s">
        <v>165</v>
      </c>
      <c r="G44" s="39" t="s">
        <v>73</v>
      </c>
      <c r="H44" s="39" t="s">
        <v>62</v>
      </c>
      <c r="I44" s="38" t="s">
        <v>63</v>
      </c>
      <c r="J44" s="39"/>
      <c r="K44" s="39" t="s">
        <v>62</v>
      </c>
      <c r="L44" s="38"/>
      <c r="M44" s="38"/>
      <c r="N44" s="40"/>
      <c r="O44" s="40"/>
      <c r="P44" s="41"/>
      <c r="Q44" s="42" t="s">
        <v>35</v>
      </c>
    </row>
    <row r="45" customFormat="false" ht="23.85" hidden="false" customHeight="false" outlineLevel="0" collapsed="false">
      <c r="A45" s="37" t="s">
        <v>166</v>
      </c>
      <c r="B45" s="38" t="s">
        <v>19</v>
      </c>
      <c r="C45" s="39" t="s">
        <v>57</v>
      </c>
      <c r="D45" s="38" t="s">
        <v>148</v>
      </c>
      <c r="E45" s="38" t="s">
        <v>167</v>
      </c>
      <c r="F45" s="38" t="s">
        <v>168</v>
      </c>
      <c r="G45" s="39" t="s">
        <v>61</v>
      </c>
      <c r="H45" s="39" t="s">
        <v>62</v>
      </c>
      <c r="I45" s="38" t="s">
        <v>63</v>
      </c>
      <c r="J45" s="39"/>
      <c r="K45" s="39" t="s">
        <v>62</v>
      </c>
      <c r="L45" s="38"/>
      <c r="M45" s="38"/>
      <c r="N45" s="40"/>
      <c r="O45" s="40"/>
      <c r="P45" s="41"/>
      <c r="Q45" s="42" t="s">
        <v>35</v>
      </c>
    </row>
    <row r="46" customFormat="false" ht="23.85" hidden="false" customHeight="false" outlineLevel="0" collapsed="false">
      <c r="A46" s="37" t="s">
        <v>169</v>
      </c>
      <c r="B46" s="38" t="s">
        <v>19</v>
      </c>
      <c r="C46" s="39" t="s">
        <v>57</v>
      </c>
      <c r="D46" s="38" t="s">
        <v>148</v>
      </c>
      <c r="E46" s="38" t="s">
        <v>167</v>
      </c>
      <c r="F46" s="38" t="s">
        <v>170</v>
      </c>
      <c r="G46" s="39" t="s">
        <v>61</v>
      </c>
      <c r="H46" s="39" t="s">
        <v>62</v>
      </c>
      <c r="I46" s="38" t="s">
        <v>63</v>
      </c>
      <c r="J46" s="39"/>
      <c r="K46" s="39" t="s">
        <v>62</v>
      </c>
      <c r="L46" s="38"/>
      <c r="M46" s="38"/>
      <c r="N46" s="40"/>
      <c r="O46" s="40"/>
      <c r="P46" s="41"/>
      <c r="Q46" s="42" t="s">
        <v>35</v>
      </c>
    </row>
    <row r="47" customFormat="false" ht="23.85" hidden="false" customHeight="false" outlineLevel="0" collapsed="false">
      <c r="A47" s="37" t="s">
        <v>171</v>
      </c>
      <c r="B47" s="38" t="s">
        <v>19</v>
      </c>
      <c r="C47" s="39" t="s">
        <v>57</v>
      </c>
      <c r="D47" s="38" t="s">
        <v>148</v>
      </c>
      <c r="E47" s="38" t="s">
        <v>149</v>
      </c>
      <c r="F47" s="38" t="s">
        <v>172</v>
      </c>
      <c r="G47" s="39" t="s">
        <v>61</v>
      </c>
      <c r="H47" s="39" t="s">
        <v>62</v>
      </c>
      <c r="I47" s="38" t="s">
        <v>63</v>
      </c>
      <c r="J47" s="39"/>
      <c r="K47" s="39" t="s">
        <v>62</v>
      </c>
      <c r="L47" s="38"/>
      <c r="M47" s="38"/>
      <c r="N47" s="40"/>
      <c r="O47" s="40"/>
      <c r="P47" s="41"/>
      <c r="Q47" s="42" t="s">
        <v>35</v>
      </c>
    </row>
    <row r="48" customFormat="false" ht="35.05" hidden="false" customHeight="false" outlineLevel="0" collapsed="false">
      <c r="A48" s="37" t="s">
        <v>173</v>
      </c>
      <c r="B48" s="38" t="s">
        <v>22</v>
      </c>
      <c r="C48" s="39" t="s">
        <v>57</v>
      </c>
      <c r="D48" s="38" t="s">
        <v>22</v>
      </c>
      <c r="E48" s="38" t="s">
        <v>174</v>
      </c>
      <c r="F48" s="38" t="s">
        <v>175</v>
      </c>
      <c r="G48" s="39" t="s">
        <v>73</v>
      </c>
      <c r="H48" s="39" t="s">
        <v>62</v>
      </c>
      <c r="I48" s="38" t="s">
        <v>63</v>
      </c>
      <c r="J48" s="39"/>
      <c r="K48" s="39" t="s">
        <v>62</v>
      </c>
      <c r="L48" s="38"/>
      <c r="M48" s="38"/>
      <c r="N48" s="40"/>
      <c r="O48" s="40"/>
      <c r="P48" s="41"/>
      <c r="Q48" s="42" t="s">
        <v>35</v>
      </c>
    </row>
    <row r="49" customFormat="false" ht="23.85" hidden="false" customHeight="false" outlineLevel="0" collapsed="false">
      <c r="A49" s="37" t="s">
        <v>176</v>
      </c>
      <c r="B49" s="38" t="s">
        <v>22</v>
      </c>
      <c r="C49" s="39" t="s">
        <v>57</v>
      </c>
      <c r="D49" s="38" t="s">
        <v>22</v>
      </c>
      <c r="E49" s="38" t="s">
        <v>174</v>
      </c>
      <c r="F49" s="38" t="s">
        <v>177</v>
      </c>
      <c r="G49" s="39" t="s">
        <v>73</v>
      </c>
      <c r="H49" s="39" t="s">
        <v>62</v>
      </c>
      <c r="I49" s="38" t="s">
        <v>158</v>
      </c>
      <c r="J49" s="39"/>
      <c r="K49" s="39" t="s">
        <v>62</v>
      </c>
      <c r="L49" s="38"/>
      <c r="M49" s="38"/>
      <c r="N49" s="40"/>
      <c r="O49" s="40"/>
      <c r="P49" s="41"/>
      <c r="Q49" s="42" t="s">
        <v>35</v>
      </c>
    </row>
    <row r="50" customFormat="false" ht="35.05" hidden="false" customHeight="false" outlineLevel="0" collapsed="false">
      <c r="A50" s="37" t="s">
        <v>178</v>
      </c>
      <c r="B50" s="38" t="s">
        <v>22</v>
      </c>
      <c r="C50" s="39" t="s">
        <v>57</v>
      </c>
      <c r="D50" s="38" t="s">
        <v>22</v>
      </c>
      <c r="E50" s="38" t="s">
        <v>179</v>
      </c>
      <c r="F50" s="38" t="s">
        <v>180</v>
      </c>
      <c r="G50" s="39" t="s">
        <v>73</v>
      </c>
      <c r="H50" s="39" t="s">
        <v>62</v>
      </c>
      <c r="I50" s="38" t="s">
        <v>63</v>
      </c>
      <c r="J50" s="39"/>
      <c r="K50" s="39" t="s">
        <v>62</v>
      </c>
      <c r="L50" s="38"/>
      <c r="M50" s="38"/>
      <c r="N50" s="40"/>
      <c r="O50" s="40"/>
      <c r="P50" s="41"/>
      <c r="Q50" s="42" t="s">
        <v>35</v>
      </c>
    </row>
    <row r="51" customFormat="false" ht="35.05" hidden="false" customHeight="false" outlineLevel="0" collapsed="false">
      <c r="A51" s="37" t="s">
        <v>181</v>
      </c>
      <c r="B51" s="38" t="s">
        <v>22</v>
      </c>
      <c r="C51" s="39" t="s">
        <v>57</v>
      </c>
      <c r="D51" s="38" t="s">
        <v>22</v>
      </c>
      <c r="E51" s="38" t="s">
        <v>182</v>
      </c>
      <c r="F51" s="38" t="s">
        <v>183</v>
      </c>
      <c r="G51" s="39" t="s">
        <v>73</v>
      </c>
      <c r="H51" s="39" t="s">
        <v>62</v>
      </c>
      <c r="I51" s="38" t="s">
        <v>63</v>
      </c>
      <c r="J51" s="39"/>
      <c r="K51" s="39" t="s">
        <v>62</v>
      </c>
      <c r="L51" s="38"/>
      <c r="M51" s="38"/>
      <c r="N51" s="40"/>
      <c r="O51" s="40"/>
      <c r="P51" s="41"/>
      <c r="Q51" s="42" t="s">
        <v>35</v>
      </c>
    </row>
    <row r="52" customFormat="false" ht="23.85" hidden="false" customHeight="false" outlineLevel="0" collapsed="false">
      <c r="A52" s="37" t="s">
        <v>184</v>
      </c>
      <c r="B52" s="38" t="s">
        <v>22</v>
      </c>
      <c r="C52" s="39" t="s">
        <v>57</v>
      </c>
      <c r="D52" s="38" t="s">
        <v>22</v>
      </c>
      <c r="E52" s="38" t="s">
        <v>185</v>
      </c>
      <c r="F52" s="38" t="s">
        <v>186</v>
      </c>
      <c r="G52" s="39" t="s">
        <v>73</v>
      </c>
      <c r="H52" s="39" t="s">
        <v>62</v>
      </c>
      <c r="I52" s="38" t="s">
        <v>63</v>
      </c>
      <c r="J52" s="39"/>
      <c r="K52" s="39" t="s">
        <v>62</v>
      </c>
      <c r="L52" s="38"/>
      <c r="M52" s="38"/>
      <c r="N52" s="40"/>
      <c r="O52" s="40"/>
      <c r="P52" s="41"/>
      <c r="Q52" s="42" t="s">
        <v>35</v>
      </c>
    </row>
    <row r="53" customFormat="false" ht="23.85" hidden="false" customHeight="false" outlineLevel="0" collapsed="false">
      <c r="A53" s="37" t="s">
        <v>187</v>
      </c>
      <c r="B53" s="38" t="s">
        <v>18</v>
      </c>
      <c r="C53" s="39" t="s">
        <v>57</v>
      </c>
      <c r="D53" s="38" t="s">
        <v>18</v>
      </c>
      <c r="E53" s="38" t="s">
        <v>188</v>
      </c>
      <c r="F53" s="38" t="s">
        <v>189</v>
      </c>
      <c r="G53" s="39" t="s">
        <v>73</v>
      </c>
      <c r="H53" s="39" t="s">
        <v>62</v>
      </c>
      <c r="I53" s="38" t="s">
        <v>63</v>
      </c>
      <c r="J53" s="39"/>
      <c r="K53" s="39" t="s">
        <v>62</v>
      </c>
      <c r="L53" s="38"/>
      <c r="M53" s="38"/>
      <c r="N53" s="40"/>
      <c r="O53" s="40"/>
      <c r="P53" s="41"/>
      <c r="Q53" s="42" t="s">
        <v>35</v>
      </c>
    </row>
    <row r="54" customFormat="false" ht="23.85" hidden="false" customHeight="false" outlineLevel="0" collapsed="false">
      <c r="A54" s="37" t="s">
        <v>190</v>
      </c>
      <c r="B54" s="38" t="s">
        <v>18</v>
      </c>
      <c r="C54" s="39" t="s">
        <v>57</v>
      </c>
      <c r="D54" s="38" t="s">
        <v>18</v>
      </c>
      <c r="E54" s="38" t="s">
        <v>191</v>
      </c>
      <c r="F54" s="38" t="s">
        <v>192</v>
      </c>
      <c r="G54" s="39" t="s">
        <v>61</v>
      </c>
      <c r="H54" s="39" t="s">
        <v>62</v>
      </c>
      <c r="I54" s="38" t="s">
        <v>63</v>
      </c>
      <c r="J54" s="39"/>
      <c r="K54" s="39" t="s">
        <v>62</v>
      </c>
      <c r="L54" s="38"/>
      <c r="M54" s="38"/>
      <c r="N54" s="40"/>
      <c r="O54" s="40"/>
      <c r="P54" s="41"/>
      <c r="Q54" s="42" t="s">
        <v>35</v>
      </c>
    </row>
    <row r="55" customFormat="false" ht="15" hidden="false" customHeight="false" outlineLevel="0" collapsed="false">
      <c r="A55" s="37" t="s">
        <v>193</v>
      </c>
      <c r="B55" s="38" t="s">
        <v>18</v>
      </c>
      <c r="C55" s="39" t="s">
        <v>57</v>
      </c>
      <c r="D55" s="38" t="s">
        <v>18</v>
      </c>
      <c r="E55" s="38" t="s">
        <v>194</v>
      </c>
      <c r="F55" s="38" t="s">
        <v>195</v>
      </c>
      <c r="G55" s="39" t="s">
        <v>73</v>
      </c>
      <c r="H55" s="39" t="s">
        <v>62</v>
      </c>
      <c r="I55" s="38" t="s">
        <v>63</v>
      </c>
      <c r="J55" s="39"/>
      <c r="K55" s="39" t="s">
        <v>62</v>
      </c>
      <c r="L55" s="38"/>
      <c r="M55" s="38"/>
      <c r="N55" s="40"/>
      <c r="O55" s="40"/>
      <c r="P55" s="41"/>
      <c r="Q55" s="42" t="s">
        <v>35</v>
      </c>
    </row>
    <row r="56" customFormat="false" ht="23.85" hidden="false" customHeight="false" outlineLevel="0" collapsed="false">
      <c r="A56" s="37" t="s">
        <v>196</v>
      </c>
      <c r="B56" s="38" t="s">
        <v>18</v>
      </c>
      <c r="C56" s="39" t="s">
        <v>57</v>
      </c>
      <c r="D56" s="38" t="s">
        <v>18</v>
      </c>
      <c r="E56" s="38" t="s">
        <v>191</v>
      </c>
      <c r="F56" s="38" t="s">
        <v>197</v>
      </c>
      <c r="G56" s="39" t="s">
        <v>73</v>
      </c>
      <c r="H56" s="39" t="s">
        <v>62</v>
      </c>
      <c r="I56" s="38" t="s">
        <v>63</v>
      </c>
      <c r="J56" s="39"/>
      <c r="K56" s="39" t="s">
        <v>62</v>
      </c>
      <c r="L56" s="38"/>
      <c r="M56" s="38"/>
      <c r="N56" s="40"/>
      <c r="O56" s="40"/>
      <c r="P56" s="41"/>
      <c r="Q56" s="42" t="s">
        <v>35</v>
      </c>
    </row>
    <row r="57" customFormat="false" ht="23.85" hidden="false" customHeight="false" outlineLevel="0" collapsed="false">
      <c r="A57" s="37" t="s">
        <v>198</v>
      </c>
      <c r="B57" s="38" t="s">
        <v>23</v>
      </c>
      <c r="C57" s="39" t="s">
        <v>57</v>
      </c>
      <c r="D57" s="38" t="s">
        <v>23</v>
      </c>
      <c r="E57" s="38" t="s">
        <v>199</v>
      </c>
      <c r="F57" s="38" t="s">
        <v>200</v>
      </c>
      <c r="G57" s="39" t="s">
        <v>73</v>
      </c>
      <c r="H57" s="39" t="s">
        <v>62</v>
      </c>
      <c r="I57" s="38" t="s">
        <v>63</v>
      </c>
      <c r="J57" s="39"/>
      <c r="K57" s="39" t="s">
        <v>62</v>
      </c>
      <c r="L57" s="38"/>
      <c r="M57" s="38"/>
      <c r="N57" s="40"/>
      <c r="O57" s="40"/>
      <c r="P57" s="41"/>
      <c r="Q57" s="42" t="s">
        <v>35</v>
      </c>
    </row>
    <row r="58" customFormat="false" ht="23.85" hidden="false" customHeight="false" outlineLevel="0" collapsed="false">
      <c r="A58" s="37" t="s">
        <v>201</v>
      </c>
      <c r="B58" s="38" t="s">
        <v>23</v>
      </c>
      <c r="C58" s="39" t="s">
        <v>57</v>
      </c>
      <c r="D58" s="38" t="s">
        <v>23</v>
      </c>
      <c r="E58" s="38" t="s">
        <v>202</v>
      </c>
      <c r="F58" s="38" t="s">
        <v>203</v>
      </c>
      <c r="G58" s="39" t="s">
        <v>73</v>
      </c>
      <c r="H58" s="39" t="s">
        <v>62</v>
      </c>
      <c r="I58" s="38" t="s">
        <v>63</v>
      </c>
      <c r="J58" s="39"/>
      <c r="K58" s="39" t="s">
        <v>62</v>
      </c>
      <c r="L58" s="38"/>
      <c r="M58" s="38"/>
      <c r="N58" s="40"/>
      <c r="O58" s="40"/>
      <c r="P58" s="41"/>
      <c r="Q58" s="42" t="s">
        <v>35</v>
      </c>
    </row>
    <row r="59" customFormat="false" ht="23.85" hidden="false" customHeight="false" outlineLevel="0" collapsed="false">
      <c r="A59" s="37" t="s">
        <v>204</v>
      </c>
      <c r="B59" s="38" t="s">
        <v>21</v>
      </c>
      <c r="C59" s="39" t="s">
        <v>57</v>
      </c>
      <c r="D59" s="38" t="s">
        <v>205</v>
      </c>
      <c r="E59" s="38" t="s">
        <v>206</v>
      </c>
      <c r="F59" s="38" t="s">
        <v>207</v>
      </c>
      <c r="G59" s="39" t="s">
        <v>73</v>
      </c>
      <c r="H59" s="39" t="s">
        <v>62</v>
      </c>
      <c r="I59" s="38" t="s">
        <v>158</v>
      </c>
      <c r="J59" s="39"/>
      <c r="K59" s="39" t="s">
        <v>62</v>
      </c>
      <c r="L59" s="38"/>
      <c r="M59" s="38"/>
      <c r="N59" s="40"/>
      <c r="O59" s="40"/>
      <c r="P59" s="41"/>
      <c r="Q59" s="42" t="s">
        <v>35</v>
      </c>
    </row>
    <row r="60" customFormat="false" ht="35.05" hidden="false" customHeight="false" outlineLevel="0" collapsed="false">
      <c r="A60" s="37" t="s">
        <v>208</v>
      </c>
      <c r="B60" s="38" t="s">
        <v>15</v>
      </c>
      <c r="C60" s="39" t="s">
        <v>209</v>
      </c>
      <c r="D60" s="38" t="s">
        <v>210</v>
      </c>
      <c r="E60" s="38" t="s">
        <v>211</v>
      </c>
      <c r="F60" s="38" t="s">
        <v>212</v>
      </c>
      <c r="G60" s="39" t="s">
        <v>213</v>
      </c>
      <c r="H60" s="39" t="s">
        <v>62</v>
      </c>
      <c r="I60" s="38" t="s">
        <v>63</v>
      </c>
      <c r="J60" s="39"/>
      <c r="K60" s="39" t="s">
        <v>62</v>
      </c>
      <c r="L60" s="38"/>
      <c r="M60" s="38"/>
      <c r="N60" s="40"/>
      <c r="O60" s="40"/>
      <c r="P60" s="41"/>
      <c r="Q60" s="42" t="s">
        <v>35</v>
      </c>
    </row>
    <row r="61" customFormat="false" ht="57.45" hidden="false" customHeight="false" outlineLevel="0" collapsed="false">
      <c r="A61" s="37" t="s">
        <v>214</v>
      </c>
      <c r="B61" s="38" t="s">
        <v>15</v>
      </c>
      <c r="C61" s="39" t="s">
        <v>209</v>
      </c>
      <c r="D61" s="38" t="s">
        <v>215</v>
      </c>
      <c r="E61" s="38" t="s">
        <v>216</v>
      </c>
      <c r="F61" s="38" t="s">
        <v>217</v>
      </c>
      <c r="G61" s="39" t="s">
        <v>213</v>
      </c>
      <c r="H61" s="39" t="s">
        <v>62</v>
      </c>
      <c r="I61" s="38" t="s">
        <v>218</v>
      </c>
      <c r="J61" s="39"/>
      <c r="K61" s="39" t="s">
        <v>62</v>
      </c>
      <c r="L61" s="38"/>
      <c r="M61" s="38"/>
      <c r="N61" s="40"/>
      <c r="O61" s="40"/>
      <c r="P61" s="41"/>
      <c r="Q61" s="42" t="s">
        <v>35</v>
      </c>
    </row>
    <row r="62" customFormat="false" ht="23.85" hidden="false" customHeight="false" outlineLevel="0" collapsed="false">
      <c r="A62" s="37" t="s">
        <v>219</v>
      </c>
      <c r="B62" s="38" t="s">
        <v>20</v>
      </c>
      <c r="C62" s="39" t="s">
        <v>209</v>
      </c>
      <c r="D62" s="38" t="s">
        <v>58</v>
      </c>
      <c r="E62" s="38" t="s">
        <v>59</v>
      </c>
      <c r="F62" s="38" t="s">
        <v>220</v>
      </c>
      <c r="G62" s="39" t="s">
        <v>213</v>
      </c>
      <c r="H62" s="39" t="s">
        <v>62</v>
      </c>
      <c r="I62" s="38" t="s">
        <v>63</v>
      </c>
      <c r="J62" s="39"/>
      <c r="K62" s="39" t="s">
        <v>62</v>
      </c>
      <c r="L62" s="38"/>
      <c r="M62" s="38"/>
      <c r="N62" s="40"/>
      <c r="O62" s="40"/>
      <c r="P62" s="41"/>
      <c r="Q62" s="42" t="s">
        <v>35</v>
      </c>
    </row>
    <row r="63" customFormat="false" ht="35.05" hidden="false" customHeight="false" outlineLevel="0" collapsed="false">
      <c r="A63" s="37" t="s">
        <v>221</v>
      </c>
      <c r="B63" s="38" t="s">
        <v>20</v>
      </c>
      <c r="C63" s="39" t="s">
        <v>209</v>
      </c>
      <c r="D63" s="38" t="s">
        <v>58</v>
      </c>
      <c r="E63" s="38" t="s">
        <v>59</v>
      </c>
      <c r="F63" s="38" t="s">
        <v>222</v>
      </c>
      <c r="G63" s="39" t="s">
        <v>213</v>
      </c>
      <c r="H63" s="39" t="s">
        <v>62</v>
      </c>
      <c r="I63" s="38" t="s">
        <v>63</v>
      </c>
      <c r="J63" s="39"/>
      <c r="K63" s="39" t="s">
        <v>62</v>
      </c>
      <c r="L63" s="38"/>
      <c r="M63" s="38"/>
      <c r="N63" s="40"/>
      <c r="O63" s="40"/>
      <c r="P63" s="41"/>
      <c r="Q63" s="42" t="s">
        <v>35</v>
      </c>
    </row>
    <row r="64" customFormat="false" ht="46.25" hidden="false" customHeight="false" outlineLevel="0" collapsed="false">
      <c r="A64" s="37" t="s">
        <v>223</v>
      </c>
      <c r="B64" s="38" t="s">
        <v>20</v>
      </c>
      <c r="C64" s="39" t="s">
        <v>209</v>
      </c>
      <c r="D64" s="38" t="s">
        <v>58</v>
      </c>
      <c r="E64" s="38" t="s">
        <v>224</v>
      </c>
      <c r="F64" s="38" t="s">
        <v>225</v>
      </c>
      <c r="G64" s="39" t="s">
        <v>213</v>
      </c>
      <c r="H64" s="39" t="s">
        <v>62</v>
      </c>
      <c r="I64" s="38" t="s">
        <v>63</v>
      </c>
      <c r="J64" s="39"/>
      <c r="K64" s="39" t="s">
        <v>62</v>
      </c>
      <c r="L64" s="38"/>
      <c r="M64" s="38"/>
      <c r="N64" s="40"/>
      <c r="O64" s="40"/>
      <c r="P64" s="41"/>
      <c r="Q64" s="42" t="s">
        <v>35</v>
      </c>
    </row>
    <row r="65" customFormat="false" ht="46.25" hidden="false" customHeight="false" outlineLevel="0" collapsed="false">
      <c r="A65" s="37" t="s">
        <v>226</v>
      </c>
      <c r="B65" s="38" t="s">
        <v>20</v>
      </c>
      <c r="C65" s="39" t="s">
        <v>209</v>
      </c>
      <c r="D65" s="38" t="s">
        <v>58</v>
      </c>
      <c r="E65" s="38" t="s">
        <v>224</v>
      </c>
      <c r="F65" s="38" t="s">
        <v>227</v>
      </c>
      <c r="G65" s="39" t="s">
        <v>213</v>
      </c>
      <c r="H65" s="39" t="s">
        <v>62</v>
      </c>
      <c r="I65" s="38" t="s">
        <v>63</v>
      </c>
      <c r="J65" s="39"/>
      <c r="K65" s="39" t="s">
        <v>62</v>
      </c>
      <c r="L65" s="38"/>
      <c r="M65" s="38"/>
      <c r="N65" s="40"/>
      <c r="O65" s="40"/>
      <c r="P65" s="41"/>
      <c r="Q65" s="42" t="s">
        <v>35</v>
      </c>
    </row>
    <row r="66" customFormat="false" ht="46.25" hidden="false" customHeight="false" outlineLevel="0" collapsed="false">
      <c r="A66" s="37" t="s">
        <v>228</v>
      </c>
      <c r="B66" s="38" t="s">
        <v>20</v>
      </c>
      <c r="C66" s="39" t="s">
        <v>209</v>
      </c>
      <c r="D66" s="38" t="s">
        <v>58</v>
      </c>
      <c r="E66" s="38" t="s">
        <v>224</v>
      </c>
      <c r="F66" s="38" t="s">
        <v>229</v>
      </c>
      <c r="G66" s="39" t="s">
        <v>213</v>
      </c>
      <c r="H66" s="39" t="s">
        <v>62</v>
      </c>
      <c r="I66" s="38" t="s">
        <v>63</v>
      </c>
      <c r="J66" s="39"/>
      <c r="K66" s="39" t="s">
        <v>62</v>
      </c>
      <c r="L66" s="38"/>
      <c r="M66" s="38"/>
      <c r="N66" s="40"/>
      <c r="O66" s="40"/>
      <c r="P66" s="41"/>
      <c r="Q66" s="42" t="s">
        <v>35</v>
      </c>
    </row>
    <row r="67" customFormat="false" ht="46.25" hidden="false" customHeight="false" outlineLevel="0" collapsed="false">
      <c r="A67" s="37" t="s">
        <v>230</v>
      </c>
      <c r="B67" s="38" t="s">
        <v>20</v>
      </c>
      <c r="C67" s="39" t="s">
        <v>209</v>
      </c>
      <c r="D67" s="38" t="s">
        <v>58</v>
      </c>
      <c r="E67" s="38" t="s">
        <v>224</v>
      </c>
      <c r="F67" s="38" t="s">
        <v>231</v>
      </c>
      <c r="G67" s="39" t="s">
        <v>213</v>
      </c>
      <c r="H67" s="39" t="s">
        <v>62</v>
      </c>
      <c r="I67" s="38" t="s">
        <v>63</v>
      </c>
      <c r="J67" s="39"/>
      <c r="K67" s="39" t="s">
        <v>62</v>
      </c>
      <c r="L67" s="38"/>
      <c r="M67" s="38"/>
      <c r="N67" s="40"/>
      <c r="O67" s="40"/>
      <c r="P67" s="41"/>
      <c r="Q67" s="42" t="s">
        <v>35</v>
      </c>
    </row>
    <row r="68" customFormat="false" ht="35.05" hidden="false" customHeight="false" outlineLevel="0" collapsed="false">
      <c r="A68" s="37" t="s">
        <v>232</v>
      </c>
      <c r="B68" s="38" t="s">
        <v>20</v>
      </c>
      <c r="C68" s="39" t="s">
        <v>209</v>
      </c>
      <c r="D68" s="38" t="s">
        <v>58</v>
      </c>
      <c r="E68" s="38" t="s">
        <v>233</v>
      </c>
      <c r="F68" s="38" t="s">
        <v>234</v>
      </c>
      <c r="G68" s="39" t="s">
        <v>213</v>
      </c>
      <c r="H68" s="39" t="s">
        <v>62</v>
      </c>
      <c r="I68" s="38" t="s">
        <v>63</v>
      </c>
      <c r="J68" s="39"/>
      <c r="K68" s="39" t="s">
        <v>62</v>
      </c>
      <c r="L68" s="38"/>
      <c r="M68" s="38"/>
      <c r="N68" s="40"/>
      <c r="O68" s="40"/>
      <c r="P68" s="41"/>
      <c r="Q68" s="42" t="s">
        <v>35</v>
      </c>
    </row>
    <row r="69" customFormat="false" ht="23.85" hidden="false" customHeight="false" outlineLevel="0" collapsed="false">
      <c r="A69" s="37" t="s">
        <v>235</v>
      </c>
      <c r="B69" s="38" t="s">
        <v>20</v>
      </c>
      <c r="C69" s="39" t="s">
        <v>209</v>
      </c>
      <c r="D69" s="38" t="s">
        <v>58</v>
      </c>
      <c r="E69" s="38" t="s">
        <v>233</v>
      </c>
      <c r="F69" s="38" t="s">
        <v>236</v>
      </c>
      <c r="G69" s="39" t="s">
        <v>213</v>
      </c>
      <c r="H69" s="39" t="s">
        <v>62</v>
      </c>
      <c r="I69" s="38" t="s">
        <v>63</v>
      </c>
      <c r="J69" s="39"/>
      <c r="K69" s="39" t="s">
        <v>62</v>
      </c>
      <c r="L69" s="38"/>
      <c r="M69" s="38"/>
      <c r="N69" s="40"/>
      <c r="O69" s="40"/>
      <c r="P69" s="41"/>
      <c r="Q69" s="42" t="s">
        <v>35</v>
      </c>
    </row>
    <row r="70" customFormat="false" ht="15" hidden="false" customHeight="false" outlineLevel="0" collapsed="false">
      <c r="A70" s="37" t="s">
        <v>237</v>
      </c>
      <c r="B70" s="38" t="s">
        <v>19</v>
      </c>
      <c r="C70" s="39" t="s">
        <v>209</v>
      </c>
      <c r="D70" s="38" t="s">
        <v>238</v>
      </c>
      <c r="E70" s="38" t="s">
        <v>239</v>
      </c>
      <c r="F70" s="38" t="s">
        <v>240</v>
      </c>
      <c r="G70" s="39" t="s">
        <v>213</v>
      </c>
      <c r="H70" s="39" t="s">
        <v>62</v>
      </c>
      <c r="I70" s="38" t="s">
        <v>63</v>
      </c>
      <c r="J70" s="39"/>
      <c r="K70" s="39" t="s">
        <v>62</v>
      </c>
      <c r="L70" s="38"/>
      <c r="M70" s="38"/>
      <c r="N70" s="40"/>
      <c r="O70" s="40"/>
      <c r="P70" s="41"/>
      <c r="Q70" s="42" t="s">
        <v>35</v>
      </c>
    </row>
    <row r="71" customFormat="false" ht="23.85" hidden="false" customHeight="false" outlineLevel="0" collapsed="false">
      <c r="A71" s="37" t="s">
        <v>241</v>
      </c>
      <c r="B71" s="38" t="s">
        <v>19</v>
      </c>
      <c r="C71" s="39" t="s">
        <v>209</v>
      </c>
      <c r="D71" s="38" t="s">
        <v>238</v>
      </c>
      <c r="E71" s="38" t="s">
        <v>239</v>
      </c>
      <c r="F71" s="38" t="s">
        <v>242</v>
      </c>
      <c r="G71" s="39" t="s">
        <v>213</v>
      </c>
      <c r="H71" s="39" t="s">
        <v>62</v>
      </c>
      <c r="I71" s="38" t="s">
        <v>63</v>
      </c>
      <c r="J71" s="39"/>
      <c r="K71" s="39" t="s">
        <v>62</v>
      </c>
      <c r="L71" s="38"/>
      <c r="M71" s="38"/>
      <c r="N71" s="40"/>
      <c r="O71" s="40"/>
      <c r="P71" s="41"/>
      <c r="Q71" s="42" t="s">
        <v>35</v>
      </c>
    </row>
    <row r="72" customFormat="false" ht="23.85" hidden="false" customHeight="false" outlineLevel="0" collapsed="false">
      <c r="A72" s="37" t="s">
        <v>243</v>
      </c>
      <c r="B72" s="38" t="s">
        <v>19</v>
      </c>
      <c r="C72" s="39" t="s">
        <v>209</v>
      </c>
      <c r="D72" s="38" t="s">
        <v>99</v>
      </c>
      <c r="E72" s="38" t="s">
        <v>100</v>
      </c>
      <c r="F72" s="38" t="s">
        <v>244</v>
      </c>
      <c r="G72" s="39" t="s">
        <v>213</v>
      </c>
      <c r="H72" s="39" t="s">
        <v>62</v>
      </c>
      <c r="I72" s="38" t="s">
        <v>63</v>
      </c>
      <c r="J72" s="39"/>
      <c r="K72" s="39" t="s">
        <v>62</v>
      </c>
      <c r="L72" s="38"/>
      <c r="M72" s="38"/>
      <c r="N72" s="40"/>
      <c r="O72" s="40"/>
      <c r="P72" s="41"/>
      <c r="Q72" s="42" t="s">
        <v>35</v>
      </c>
    </row>
    <row r="73" customFormat="false" ht="23.85" hidden="false" customHeight="false" outlineLevel="0" collapsed="false">
      <c r="A73" s="37" t="s">
        <v>245</v>
      </c>
      <c r="B73" s="38" t="s">
        <v>20</v>
      </c>
      <c r="C73" s="39" t="s">
        <v>209</v>
      </c>
      <c r="D73" s="38" t="s">
        <v>58</v>
      </c>
      <c r="E73" s="38" t="s">
        <v>47</v>
      </c>
      <c r="F73" s="38" t="s">
        <v>246</v>
      </c>
      <c r="G73" s="39" t="s">
        <v>213</v>
      </c>
      <c r="H73" s="39" t="s">
        <v>247</v>
      </c>
      <c r="I73" s="38" t="s">
        <v>63</v>
      </c>
      <c r="J73" s="39"/>
      <c r="K73" s="39" t="s">
        <v>62</v>
      </c>
      <c r="L73" s="38"/>
      <c r="M73" s="38"/>
      <c r="N73" s="40"/>
      <c r="O73" s="40"/>
      <c r="P73" s="41"/>
      <c r="Q73" s="42" t="s">
        <v>35</v>
      </c>
    </row>
    <row r="74" customFormat="false" ht="35.05" hidden="false" customHeight="false" outlineLevel="0" collapsed="false">
      <c r="A74" s="37" t="s">
        <v>248</v>
      </c>
      <c r="B74" s="38" t="s">
        <v>20</v>
      </c>
      <c r="C74" s="39" t="s">
        <v>209</v>
      </c>
      <c r="D74" s="38" t="s">
        <v>58</v>
      </c>
      <c r="E74" s="38" t="s">
        <v>47</v>
      </c>
      <c r="F74" s="38" t="s">
        <v>249</v>
      </c>
      <c r="G74" s="39" t="s">
        <v>213</v>
      </c>
      <c r="H74" s="39" t="s">
        <v>247</v>
      </c>
      <c r="I74" s="38" t="s">
        <v>63</v>
      </c>
      <c r="J74" s="39"/>
      <c r="K74" s="39" t="s">
        <v>62</v>
      </c>
      <c r="L74" s="38"/>
      <c r="M74" s="38"/>
      <c r="N74" s="40"/>
      <c r="O74" s="40"/>
      <c r="P74" s="41"/>
      <c r="Q74" s="42" t="s">
        <v>35</v>
      </c>
    </row>
    <row r="75" customFormat="false" ht="23.85" hidden="false" customHeight="false" outlineLevel="0" collapsed="false">
      <c r="A75" s="37" t="s">
        <v>250</v>
      </c>
      <c r="B75" s="38" t="s">
        <v>20</v>
      </c>
      <c r="C75" s="39" t="s">
        <v>209</v>
      </c>
      <c r="D75" s="38" t="s">
        <v>58</v>
      </c>
      <c r="E75" s="38" t="s">
        <v>47</v>
      </c>
      <c r="F75" s="38" t="s">
        <v>251</v>
      </c>
      <c r="G75" s="39" t="s">
        <v>213</v>
      </c>
      <c r="H75" s="39" t="s">
        <v>247</v>
      </c>
      <c r="I75" s="38" t="s">
        <v>63</v>
      </c>
      <c r="J75" s="39"/>
      <c r="K75" s="39" t="s">
        <v>62</v>
      </c>
      <c r="L75" s="38"/>
      <c r="M75" s="38"/>
      <c r="N75" s="40"/>
      <c r="O75" s="40"/>
      <c r="P75" s="41"/>
      <c r="Q75" s="42" t="s">
        <v>35</v>
      </c>
    </row>
    <row r="76" customFormat="false" ht="35.05" hidden="false" customHeight="false" outlineLevel="0" collapsed="false">
      <c r="A76" s="37" t="s">
        <v>252</v>
      </c>
      <c r="B76" s="38" t="s">
        <v>20</v>
      </c>
      <c r="C76" s="39" t="s">
        <v>209</v>
      </c>
      <c r="D76" s="38" t="s">
        <v>58</v>
      </c>
      <c r="E76" s="38" t="s">
        <v>47</v>
      </c>
      <c r="F76" s="38" t="s">
        <v>253</v>
      </c>
      <c r="G76" s="39" t="s">
        <v>213</v>
      </c>
      <c r="H76" s="39" t="s">
        <v>247</v>
      </c>
      <c r="I76" s="38" t="s">
        <v>63</v>
      </c>
      <c r="J76" s="39"/>
      <c r="K76" s="39" t="s">
        <v>62</v>
      </c>
      <c r="L76" s="38"/>
      <c r="M76" s="38"/>
      <c r="N76" s="40"/>
      <c r="O76" s="40"/>
      <c r="P76" s="41"/>
      <c r="Q76" s="42" t="s">
        <v>35</v>
      </c>
    </row>
    <row r="77" customFormat="false" ht="23.85" hidden="false" customHeight="false" outlineLevel="0" collapsed="false">
      <c r="A77" s="37" t="s">
        <v>254</v>
      </c>
      <c r="B77" s="38" t="s">
        <v>20</v>
      </c>
      <c r="C77" s="39" t="s">
        <v>209</v>
      </c>
      <c r="D77" s="38" t="s">
        <v>58</v>
      </c>
      <c r="E77" s="38" t="s">
        <v>47</v>
      </c>
      <c r="F77" s="38" t="s">
        <v>255</v>
      </c>
      <c r="G77" s="39" t="s">
        <v>213</v>
      </c>
      <c r="H77" s="39" t="s">
        <v>247</v>
      </c>
      <c r="I77" s="38" t="s">
        <v>63</v>
      </c>
      <c r="J77" s="39"/>
      <c r="K77" s="39" t="s">
        <v>62</v>
      </c>
      <c r="L77" s="38"/>
      <c r="M77" s="38"/>
      <c r="N77" s="40"/>
      <c r="O77" s="40"/>
      <c r="P77" s="41"/>
      <c r="Q77" s="42" t="s">
        <v>35</v>
      </c>
    </row>
    <row r="78" customFormat="false" ht="57.45" hidden="false" customHeight="false" outlineLevel="0" collapsed="false">
      <c r="A78" s="37" t="s">
        <v>256</v>
      </c>
      <c r="B78" s="38" t="s">
        <v>20</v>
      </c>
      <c r="C78" s="39" t="s">
        <v>209</v>
      </c>
      <c r="D78" s="38" t="s">
        <v>58</v>
      </c>
      <c r="E78" s="38" t="s">
        <v>47</v>
      </c>
      <c r="F78" s="38" t="s">
        <v>257</v>
      </c>
      <c r="G78" s="39" t="s">
        <v>213</v>
      </c>
      <c r="H78" s="39" t="s">
        <v>247</v>
      </c>
      <c r="I78" s="38" t="s">
        <v>63</v>
      </c>
      <c r="J78" s="39"/>
      <c r="K78" s="39" t="s">
        <v>62</v>
      </c>
      <c r="L78" s="38"/>
      <c r="M78" s="38"/>
      <c r="N78" s="40"/>
      <c r="O78" s="40"/>
      <c r="P78" s="41"/>
      <c r="Q78" s="42" t="s">
        <v>35</v>
      </c>
    </row>
    <row r="79" customFormat="false" ht="23.85" hidden="false" customHeight="false" outlineLevel="0" collapsed="false">
      <c r="A79" s="37" t="s">
        <v>258</v>
      </c>
      <c r="B79" s="38" t="s">
        <v>20</v>
      </c>
      <c r="C79" s="39" t="s">
        <v>209</v>
      </c>
      <c r="D79" s="38" t="s">
        <v>58</v>
      </c>
      <c r="E79" s="38" t="s">
        <v>47</v>
      </c>
      <c r="F79" s="38" t="s">
        <v>259</v>
      </c>
      <c r="G79" s="39" t="s">
        <v>213</v>
      </c>
      <c r="H79" s="39" t="s">
        <v>247</v>
      </c>
      <c r="I79" s="38" t="s">
        <v>63</v>
      </c>
      <c r="J79" s="39"/>
      <c r="K79" s="39" t="s">
        <v>62</v>
      </c>
      <c r="L79" s="38"/>
      <c r="M79" s="38"/>
      <c r="N79" s="40"/>
      <c r="O79" s="40"/>
      <c r="P79" s="41"/>
      <c r="Q79" s="42" t="s">
        <v>35</v>
      </c>
    </row>
    <row r="80" customFormat="false" ht="23.85" hidden="false" customHeight="false" outlineLevel="0" collapsed="false">
      <c r="A80" s="37" t="s">
        <v>260</v>
      </c>
      <c r="B80" s="38" t="s">
        <v>19</v>
      </c>
      <c r="C80" s="39" t="s">
        <v>209</v>
      </c>
      <c r="D80" s="38" t="s">
        <v>261</v>
      </c>
      <c r="E80" s="38" t="s">
        <v>47</v>
      </c>
      <c r="F80" s="38" t="s">
        <v>262</v>
      </c>
      <c r="G80" s="39" t="s">
        <v>213</v>
      </c>
      <c r="H80" s="39" t="s">
        <v>247</v>
      </c>
      <c r="I80" s="38" t="s">
        <v>218</v>
      </c>
      <c r="J80" s="39"/>
      <c r="K80" s="39" t="s">
        <v>62</v>
      </c>
      <c r="L80" s="38"/>
      <c r="M80" s="38"/>
      <c r="N80" s="40"/>
      <c r="O80" s="40"/>
      <c r="P80" s="41"/>
      <c r="Q80" s="42" t="s">
        <v>35</v>
      </c>
    </row>
    <row r="81" customFormat="false" ht="23.85" hidden="false" customHeight="false" outlineLevel="0" collapsed="false">
      <c r="A81" s="37" t="s">
        <v>263</v>
      </c>
      <c r="B81" s="38" t="s">
        <v>19</v>
      </c>
      <c r="C81" s="39" t="s">
        <v>209</v>
      </c>
      <c r="D81" s="38" t="s">
        <v>148</v>
      </c>
      <c r="E81" s="38" t="s">
        <v>47</v>
      </c>
      <c r="F81" s="38" t="s">
        <v>264</v>
      </c>
      <c r="G81" s="39" t="s">
        <v>213</v>
      </c>
      <c r="H81" s="39" t="s">
        <v>247</v>
      </c>
      <c r="I81" s="38" t="s">
        <v>63</v>
      </c>
      <c r="J81" s="39"/>
      <c r="K81" s="39" t="s">
        <v>62</v>
      </c>
      <c r="L81" s="38"/>
      <c r="M81" s="38"/>
      <c r="N81" s="40"/>
      <c r="O81" s="40"/>
      <c r="P81" s="41"/>
      <c r="Q81" s="42" t="s">
        <v>35</v>
      </c>
    </row>
    <row r="82" customFormat="false" ht="23.85" hidden="false" customHeight="false" outlineLevel="0" collapsed="false">
      <c r="A82" s="37" t="s">
        <v>265</v>
      </c>
      <c r="B82" s="38" t="s">
        <v>19</v>
      </c>
      <c r="C82" s="39" t="s">
        <v>209</v>
      </c>
      <c r="D82" s="38" t="s">
        <v>148</v>
      </c>
      <c r="E82" s="38" t="s">
        <v>47</v>
      </c>
      <c r="F82" s="38" t="s">
        <v>266</v>
      </c>
      <c r="G82" s="39" t="s">
        <v>213</v>
      </c>
      <c r="H82" s="39" t="s">
        <v>247</v>
      </c>
      <c r="I82" s="38" t="s">
        <v>63</v>
      </c>
      <c r="J82" s="39"/>
      <c r="K82" s="39" t="s">
        <v>62</v>
      </c>
      <c r="L82" s="38"/>
      <c r="M82" s="38"/>
      <c r="N82" s="40"/>
      <c r="O82" s="40"/>
      <c r="P82" s="41"/>
      <c r="Q82" s="42" t="s">
        <v>35</v>
      </c>
    </row>
    <row r="83" customFormat="false" ht="23.85" hidden="false" customHeight="false" outlineLevel="0" collapsed="false">
      <c r="A83" s="37" t="s">
        <v>267</v>
      </c>
      <c r="B83" s="38" t="s">
        <v>19</v>
      </c>
      <c r="C83" s="39" t="s">
        <v>209</v>
      </c>
      <c r="D83" s="38" t="s">
        <v>148</v>
      </c>
      <c r="E83" s="38" t="s">
        <v>47</v>
      </c>
      <c r="F83" s="38" t="s">
        <v>268</v>
      </c>
      <c r="G83" s="39" t="s">
        <v>213</v>
      </c>
      <c r="H83" s="39" t="s">
        <v>247</v>
      </c>
      <c r="I83" s="38" t="s">
        <v>63</v>
      </c>
      <c r="J83" s="39"/>
      <c r="K83" s="39" t="s">
        <v>62</v>
      </c>
      <c r="L83" s="38"/>
      <c r="M83" s="38"/>
      <c r="N83" s="40"/>
      <c r="O83" s="40"/>
      <c r="P83" s="41"/>
      <c r="Q83" s="42" t="s">
        <v>35</v>
      </c>
    </row>
    <row r="84" customFormat="false" ht="15" hidden="false" customHeight="false" outlineLevel="0" collapsed="false">
      <c r="A84" s="37" t="s">
        <v>269</v>
      </c>
      <c r="B84" s="38" t="s">
        <v>19</v>
      </c>
      <c r="C84" s="39" t="s">
        <v>209</v>
      </c>
      <c r="D84" s="38" t="s">
        <v>148</v>
      </c>
      <c r="E84" s="38" t="s">
        <v>47</v>
      </c>
      <c r="F84" s="38" t="s">
        <v>270</v>
      </c>
      <c r="G84" s="39" t="s">
        <v>213</v>
      </c>
      <c r="H84" s="39" t="s">
        <v>247</v>
      </c>
      <c r="I84" s="38" t="s">
        <v>271</v>
      </c>
      <c r="J84" s="39"/>
      <c r="K84" s="39" t="s">
        <v>62</v>
      </c>
      <c r="L84" s="38"/>
      <c r="M84" s="38"/>
      <c r="N84" s="40"/>
      <c r="O84" s="40"/>
      <c r="P84" s="41"/>
      <c r="Q84" s="42" t="s">
        <v>35</v>
      </c>
    </row>
    <row r="85" customFormat="false" ht="15" hidden="false" customHeight="false" outlineLevel="0" collapsed="false">
      <c r="A85" s="37" t="s">
        <v>272</v>
      </c>
      <c r="B85" s="38" t="s">
        <v>18</v>
      </c>
      <c r="C85" s="39" t="s">
        <v>209</v>
      </c>
      <c r="D85" s="38" t="s">
        <v>18</v>
      </c>
      <c r="E85" s="38" t="s">
        <v>47</v>
      </c>
      <c r="F85" s="38" t="s">
        <v>273</v>
      </c>
      <c r="G85" s="39" t="s">
        <v>213</v>
      </c>
      <c r="H85" s="39" t="s">
        <v>247</v>
      </c>
      <c r="I85" s="38" t="s">
        <v>63</v>
      </c>
      <c r="J85" s="39"/>
      <c r="K85" s="39" t="s">
        <v>62</v>
      </c>
      <c r="L85" s="38"/>
      <c r="M85" s="38"/>
      <c r="N85" s="40"/>
      <c r="O85" s="40"/>
      <c r="P85" s="41"/>
      <c r="Q85" s="42" t="s">
        <v>35</v>
      </c>
    </row>
    <row r="86" customFormat="false" ht="23.85" hidden="false" customHeight="false" outlineLevel="0" collapsed="false">
      <c r="A86" s="37" t="s">
        <v>274</v>
      </c>
      <c r="B86" s="38" t="s">
        <v>18</v>
      </c>
      <c r="C86" s="39" t="s">
        <v>209</v>
      </c>
      <c r="D86" s="38" t="s">
        <v>18</v>
      </c>
      <c r="E86" s="38" t="s">
        <v>47</v>
      </c>
      <c r="F86" s="38" t="s">
        <v>275</v>
      </c>
      <c r="G86" s="39" t="s">
        <v>213</v>
      </c>
      <c r="H86" s="39" t="s">
        <v>247</v>
      </c>
      <c r="I86" s="38" t="s">
        <v>63</v>
      </c>
      <c r="J86" s="39"/>
      <c r="K86" s="39" t="s">
        <v>62</v>
      </c>
      <c r="L86" s="38"/>
      <c r="M86" s="38"/>
      <c r="N86" s="40"/>
      <c r="O86" s="40"/>
      <c r="P86" s="41"/>
      <c r="Q86" s="42" t="s">
        <v>35</v>
      </c>
    </row>
    <row r="87" customFormat="false" ht="23.85" hidden="false" customHeight="false" outlineLevel="0" collapsed="false">
      <c r="A87" s="37" t="s">
        <v>276</v>
      </c>
      <c r="B87" s="38" t="s">
        <v>18</v>
      </c>
      <c r="C87" s="39" t="s">
        <v>209</v>
      </c>
      <c r="D87" s="38" t="s">
        <v>18</v>
      </c>
      <c r="E87" s="38" t="s">
        <v>47</v>
      </c>
      <c r="F87" s="38" t="s">
        <v>277</v>
      </c>
      <c r="G87" s="39" t="s">
        <v>213</v>
      </c>
      <c r="H87" s="39" t="s">
        <v>247</v>
      </c>
      <c r="I87" s="38" t="s">
        <v>63</v>
      </c>
      <c r="J87" s="39"/>
      <c r="K87" s="39" t="s">
        <v>62</v>
      </c>
      <c r="L87" s="38"/>
      <c r="M87" s="38"/>
      <c r="N87" s="40"/>
      <c r="O87" s="40"/>
      <c r="P87" s="41"/>
      <c r="Q87" s="42" t="s">
        <v>35</v>
      </c>
    </row>
    <row r="88" customFormat="false" ht="23.85" hidden="false" customHeight="false" outlineLevel="0" collapsed="false">
      <c r="A88" s="37" t="s">
        <v>278</v>
      </c>
      <c r="B88" s="38" t="s">
        <v>18</v>
      </c>
      <c r="C88" s="39" t="s">
        <v>209</v>
      </c>
      <c r="D88" s="38" t="s">
        <v>18</v>
      </c>
      <c r="E88" s="38" t="s">
        <v>47</v>
      </c>
      <c r="F88" s="38" t="s">
        <v>279</v>
      </c>
      <c r="G88" s="39" t="s">
        <v>213</v>
      </c>
      <c r="H88" s="39" t="s">
        <v>247</v>
      </c>
      <c r="I88" s="38" t="s">
        <v>63</v>
      </c>
      <c r="J88" s="39"/>
      <c r="K88" s="39" t="s">
        <v>62</v>
      </c>
      <c r="L88" s="38"/>
      <c r="M88" s="38"/>
      <c r="N88" s="40"/>
      <c r="O88" s="40"/>
      <c r="P88" s="41"/>
      <c r="Q88" s="42" t="s">
        <v>35</v>
      </c>
    </row>
    <row r="89" customFormat="false" ht="23.85" hidden="false" customHeight="false" outlineLevel="0" collapsed="false">
      <c r="A89" s="37" t="s">
        <v>280</v>
      </c>
      <c r="B89" s="38" t="s">
        <v>21</v>
      </c>
      <c r="C89" s="39" t="s">
        <v>209</v>
      </c>
      <c r="D89" s="38" t="s">
        <v>205</v>
      </c>
      <c r="E89" s="38" t="s">
        <v>47</v>
      </c>
      <c r="F89" s="38" t="s">
        <v>281</v>
      </c>
      <c r="G89" s="39" t="s">
        <v>213</v>
      </c>
      <c r="H89" s="39" t="s">
        <v>247</v>
      </c>
      <c r="I89" s="38" t="s">
        <v>63</v>
      </c>
      <c r="J89" s="39"/>
      <c r="K89" s="39" t="s">
        <v>62</v>
      </c>
      <c r="L89" s="38"/>
      <c r="M89" s="38"/>
      <c r="N89" s="40"/>
      <c r="O89" s="40"/>
      <c r="P89" s="41"/>
      <c r="Q89" s="42" t="s">
        <v>35</v>
      </c>
    </row>
    <row r="90" customFormat="false" ht="46.25" hidden="false" customHeight="false" outlineLevel="0" collapsed="false">
      <c r="A90" s="43" t="s">
        <v>282</v>
      </c>
      <c r="B90" s="38" t="s">
        <v>15</v>
      </c>
      <c r="C90" s="39" t="s">
        <v>283</v>
      </c>
      <c r="D90" s="38" t="s">
        <v>284</v>
      </c>
      <c r="E90" s="38" t="s">
        <v>285</v>
      </c>
      <c r="F90" s="38" t="s">
        <v>286</v>
      </c>
      <c r="G90" s="39" t="s">
        <v>283</v>
      </c>
      <c r="H90" s="39" t="s">
        <v>62</v>
      </c>
      <c r="I90" s="38" t="s">
        <v>287</v>
      </c>
      <c r="J90" s="39" t="s">
        <v>288</v>
      </c>
      <c r="K90" s="39" t="s">
        <v>62</v>
      </c>
      <c r="L90" s="38" t="s">
        <v>289</v>
      </c>
      <c r="M90" s="38" t="s">
        <v>290</v>
      </c>
      <c r="N90" s="40"/>
      <c r="O90" s="40"/>
      <c r="P90" s="41"/>
      <c r="Q90" s="42" t="s">
        <v>35</v>
      </c>
    </row>
    <row r="91" customFormat="false" ht="35.05" hidden="false" customHeight="false" outlineLevel="0" collapsed="false">
      <c r="A91" s="43" t="s">
        <v>291</v>
      </c>
      <c r="B91" s="38" t="s">
        <v>15</v>
      </c>
      <c r="C91" s="39" t="s">
        <v>283</v>
      </c>
      <c r="D91" s="38" t="s">
        <v>284</v>
      </c>
      <c r="E91" s="38" t="s">
        <v>285</v>
      </c>
      <c r="F91" s="38" t="s">
        <v>292</v>
      </c>
      <c r="G91" s="39" t="s">
        <v>283</v>
      </c>
      <c r="H91" s="39" t="s">
        <v>62</v>
      </c>
      <c r="I91" s="38" t="s">
        <v>293</v>
      </c>
      <c r="J91" s="39" t="s">
        <v>288</v>
      </c>
      <c r="K91" s="39" t="s">
        <v>62</v>
      </c>
      <c r="L91" s="38" t="s">
        <v>294</v>
      </c>
      <c r="M91" s="38" t="s">
        <v>290</v>
      </c>
      <c r="N91" s="40"/>
      <c r="O91" s="40"/>
      <c r="P91" s="41"/>
      <c r="Q91" s="42" t="s">
        <v>35</v>
      </c>
    </row>
    <row r="92" customFormat="false" ht="35.05" hidden="false" customHeight="false" outlineLevel="0" collapsed="false">
      <c r="A92" s="43" t="s">
        <v>295</v>
      </c>
      <c r="B92" s="38" t="s">
        <v>15</v>
      </c>
      <c r="C92" s="39" t="s">
        <v>283</v>
      </c>
      <c r="D92" s="38" t="s">
        <v>284</v>
      </c>
      <c r="E92" s="38" t="s">
        <v>285</v>
      </c>
      <c r="F92" s="38" t="s">
        <v>296</v>
      </c>
      <c r="G92" s="39" t="s">
        <v>283</v>
      </c>
      <c r="H92" s="39" t="s">
        <v>62</v>
      </c>
      <c r="I92" s="38" t="s">
        <v>287</v>
      </c>
      <c r="J92" s="39" t="s">
        <v>288</v>
      </c>
      <c r="K92" s="39" t="s">
        <v>62</v>
      </c>
      <c r="L92" s="38" t="s">
        <v>297</v>
      </c>
      <c r="M92" s="38" t="s">
        <v>290</v>
      </c>
      <c r="N92" s="40"/>
      <c r="O92" s="40"/>
      <c r="P92" s="41"/>
      <c r="Q92" s="42" t="s">
        <v>35</v>
      </c>
    </row>
    <row r="93" customFormat="false" ht="35.05" hidden="false" customHeight="false" outlineLevel="0" collapsed="false">
      <c r="A93" s="43" t="s">
        <v>298</v>
      </c>
      <c r="B93" s="38" t="s">
        <v>15</v>
      </c>
      <c r="C93" s="39" t="s">
        <v>283</v>
      </c>
      <c r="D93" s="38" t="s">
        <v>299</v>
      </c>
      <c r="E93" s="38" t="s">
        <v>285</v>
      </c>
      <c r="F93" s="38" t="s">
        <v>300</v>
      </c>
      <c r="G93" s="39" t="s">
        <v>283</v>
      </c>
      <c r="H93" s="39" t="s">
        <v>62</v>
      </c>
      <c r="I93" s="38" t="s">
        <v>301</v>
      </c>
      <c r="J93" s="39" t="s">
        <v>288</v>
      </c>
      <c r="K93" s="39" t="s">
        <v>62</v>
      </c>
      <c r="L93" s="38" t="s">
        <v>302</v>
      </c>
      <c r="M93" s="38" t="s">
        <v>290</v>
      </c>
      <c r="N93" s="40"/>
      <c r="O93" s="40"/>
      <c r="P93" s="41"/>
      <c r="Q93" s="42" t="s">
        <v>35</v>
      </c>
    </row>
    <row r="94" customFormat="false" ht="35.05" hidden="false" customHeight="false" outlineLevel="0" collapsed="false">
      <c r="A94" s="43" t="s">
        <v>303</v>
      </c>
      <c r="B94" s="38" t="s">
        <v>15</v>
      </c>
      <c r="C94" s="39" t="s">
        <v>283</v>
      </c>
      <c r="D94" s="38" t="s">
        <v>299</v>
      </c>
      <c r="E94" s="38" t="s">
        <v>285</v>
      </c>
      <c r="F94" s="38" t="s">
        <v>304</v>
      </c>
      <c r="G94" s="39" t="s">
        <v>283</v>
      </c>
      <c r="H94" s="39" t="s">
        <v>62</v>
      </c>
      <c r="I94" s="38" t="s">
        <v>287</v>
      </c>
      <c r="J94" s="39" t="s">
        <v>288</v>
      </c>
      <c r="K94" s="39" t="s">
        <v>62</v>
      </c>
      <c r="L94" s="38" t="s">
        <v>305</v>
      </c>
      <c r="M94" s="38" t="s">
        <v>290</v>
      </c>
      <c r="N94" s="40"/>
      <c r="O94" s="40"/>
      <c r="P94" s="41"/>
      <c r="Q94" s="42" t="s">
        <v>35</v>
      </c>
    </row>
    <row r="95" customFormat="false" ht="35.05" hidden="false" customHeight="false" outlineLevel="0" collapsed="false">
      <c r="A95" s="43" t="s">
        <v>306</v>
      </c>
      <c r="B95" s="38" t="s">
        <v>15</v>
      </c>
      <c r="C95" s="39" t="s">
        <v>283</v>
      </c>
      <c r="D95" s="38" t="s">
        <v>299</v>
      </c>
      <c r="E95" s="38" t="s">
        <v>285</v>
      </c>
      <c r="F95" s="38" t="s">
        <v>307</v>
      </c>
      <c r="G95" s="39" t="s">
        <v>283</v>
      </c>
      <c r="H95" s="39" t="s">
        <v>62</v>
      </c>
      <c r="I95" s="38" t="s">
        <v>287</v>
      </c>
      <c r="J95" s="39" t="s">
        <v>288</v>
      </c>
      <c r="K95" s="39" t="s">
        <v>62</v>
      </c>
      <c r="L95" s="38" t="s">
        <v>308</v>
      </c>
      <c r="M95" s="38" t="s">
        <v>309</v>
      </c>
      <c r="N95" s="40"/>
      <c r="O95" s="40"/>
      <c r="P95" s="41"/>
      <c r="Q95" s="42" t="s">
        <v>35</v>
      </c>
    </row>
    <row r="96" customFormat="false" ht="35.05" hidden="false" customHeight="false" outlineLevel="0" collapsed="false">
      <c r="A96" s="43" t="s">
        <v>310</v>
      </c>
      <c r="B96" s="38" t="s">
        <v>15</v>
      </c>
      <c r="C96" s="39" t="s">
        <v>283</v>
      </c>
      <c r="D96" s="38" t="s">
        <v>299</v>
      </c>
      <c r="E96" s="38" t="s">
        <v>285</v>
      </c>
      <c r="F96" s="38" t="s">
        <v>311</v>
      </c>
      <c r="G96" s="39" t="s">
        <v>283</v>
      </c>
      <c r="H96" s="39" t="s">
        <v>62</v>
      </c>
      <c r="I96" s="38" t="s">
        <v>301</v>
      </c>
      <c r="J96" s="39" t="s">
        <v>288</v>
      </c>
      <c r="K96" s="39" t="s">
        <v>62</v>
      </c>
      <c r="L96" s="38" t="s">
        <v>312</v>
      </c>
      <c r="M96" s="38" t="s">
        <v>309</v>
      </c>
      <c r="N96" s="40"/>
      <c r="O96" s="40"/>
      <c r="P96" s="41"/>
      <c r="Q96" s="42" t="s">
        <v>35</v>
      </c>
    </row>
    <row r="97" customFormat="false" ht="35.05" hidden="false" customHeight="false" outlineLevel="0" collapsed="false">
      <c r="A97" s="43" t="s">
        <v>313</v>
      </c>
      <c r="B97" s="38" t="s">
        <v>15</v>
      </c>
      <c r="C97" s="39" t="s">
        <v>283</v>
      </c>
      <c r="D97" s="38" t="s">
        <v>299</v>
      </c>
      <c r="E97" s="38" t="s">
        <v>285</v>
      </c>
      <c r="F97" s="38" t="s">
        <v>314</v>
      </c>
      <c r="G97" s="39" t="s">
        <v>283</v>
      </c>
      <c r="H97" s="39" t="s">
        <v>62</v>
      </c>
      <c r="I97" s="38" t="s">
        <v>287</v>
      </c>
      <c r="J97" s="39" t="s">
        <v>288</v>
      </c>
      <c r="K97" s="39" t="s">
        <v>62</v>
      </c>
      <c r="L97" s="38" t="s">
        <v>315</v>
      </c>
      <c r="M97" s="38" t="s">
        <v>309</v>
      </c>
      <c r="N97" s="40"/>
      <c r="O97" s="40"/>
      <c r="P97" s="41"/>
      <c r="Q97" s="42" t="s">
        <v>35</v>
      </c>
    </row>
    <row r="98" customFormat="false" ht="35.05" hidden="false" customHeight="false" outlineLevel="0" collapsed="false">
      <c r="A98" s="43" t="s">
        <v>316</v>
      </c>
      <c r="B98" s="38" t="s">
        <v>15</v>
      </c>
      <c r="C98" s="39" t="s">
        <v>283</v>
      </c>
      <c r="D98" s="38" t="s">
        <v>299</v>
      </c>
      <c r="E98" s="38" t="s">
        <v>285</v>
      </c>
      <c r="F98" s="38" t="s">
        <v>317</v>
      </c>
      <c r="G98" s="39" t="s">
        <v>283</v>
      </c>
      <c r="H98" s="39" t="s">
        <v>62</v>
      </c>
      <c r="I98" s="38" t="s">
        <v>287</v>
      </c>
      <c r="J98" s="39" t="s">
        <v>288</v>
      </c>
      <c r="K98" s="39" t="s">
        <v>62</v>
      </c>
      <c r="L98" s="38" t="s">
        <v>318</v>
      </c>
      <c r="M98" s="38" t="s">
        <v>319</v>
      </c>
      <c r="N98" s="40"/>
      <c r="O98" s="40"/>
      <c r="P98" s="41"/>
      <c r="Q98" s="42" t="s">
        <v>35</v>
      </c>
    </row>
    <row r="99" customFormat="false" ht="46.25" hidden="false" customHeight="false" outlineLevel="0" collapsed="false">
      <c r="A99" s="43" t="s">
        <v>320</v>
      </c>
      <c r="B99" s="38" t="s">
        <v>15</v>
      </c>
      <c r="C99" s="39" t="s">
        <v>283</v>
      </c>
      <c r="D99" s="38" t="s">
        <v>299</v>
      </c>
      <c r="E99" s="38" t="s">
        <v>285</v>
      </c>
      <c r="F99" s="38" t="s">
        <v>321</v>
      </c>
      <c r="G99" s="39" t="s">
        <v>283</v>
      </c>
      <c r="H99" s="39" t="s">
        <v>62</v>
      </c>
      <c r="I99" s="38" t="s">
        <v>301</v>
      </c>
      <c r="J99" s="39" t="s">
        <v>322</v>
      </c>
      <c r="K99" s="39" t="s">
        <v>62</v>
      </c>
      <c r="L99" s="38" t="s">
        <v>323</v>
      </c>
      <c r="M99" s="38" t="s">
        <v>290</v>
      </c>
      <c r="N99" s="40"/>
      <c r="O99" s="40"/>
      <c r="P99" s="41"/>
      <c r="Q99" s="42" t="s">
        <v>35</v>
      </c>
    </row>
    <row r="100" customFormat="false" ht="46.25" hidden="false" customHeight="false" outlineLevel="0" collapsed="false">
      <c r="A100" s="43" t="s">
        <v>324</v>
      </c>
      <c r="B100" s="38" t="s">
        <v>15</v>
      </c>
      <c r="C100" s="39" t="s">
        <v>283</v>
      </c>
      <c r="D100" s="38" t="s">
        <v>299</v>
      </c>
      <c r="E100" s="38" t="s">
        <v>285</v>
      </c>
      <c r="F100" s="38" t="s">
        <v>325</v>
      </c>
      <c r="G100" s="39" t="s">
        <v>283</v>
      </c>
      <c r="H100" s="39" t="s">
        <v>62</v>
      </c>
      <c r="I100" s="38" t="s">
        <v>287</v>
      </c>
      <c r="J100" s="39" t="s">
        <v>322</v>
      </c>
      <c r="K100" s="39" t="s">
        <v>62</v>
      </c>
      <c r="L100" s="38" t="s">
        <v>326</v>
      </c>
      <c r="M100" s="38" t="s">
        <v>327</v>
      </c>
      <c r="N100" s="40"/>
      <c r="O100" s="40"/>
      <c r="P100" s="41"/>
      <c r="Q100" s="42" t="s">
        <v>35</v>
      </c>
    </row>
    <row r="101" customFormat="false" ht="35.05" hidden="false" customHeight="false" outlineLevel="0" collapsed="false">
      <c r="A101" s="43" t="s">
        <v>328</v>
      </c>
      <c r="B101" s="38" t="s">
        <v>15</v>
      </c>
      <c r="C101" s="39" t="s">
        <v>283</v>
      </c>
      <c r="D101" s="38" t="s">
        <v>299</v>
      </c>
      <c r="E101" s="38" t="s">
        <v>285</v>
      </c>
      <c r="F101" s="38" t="s">
        <v>329</v>
      </c>
      <c r="G101" s="39" t="s">
        <v>283</v>
      </c>
      <c r="H101" s="39" t="s">
        <v>62</v>
      </c>
      <c r="I101" s="38" t="s">
        <v>293</v>
      </c>
      <c r="J101" s="39" t="s">
        <v>288</v>
      </c>
      <c r="K101" s="39" t="s">
        <v>62</v>
      </c>
      <c r="L101" s="38" t="s">
        <v>330</v>
      </c>
      <c r="M101" s="38" t="s">
        <v>309</v>
      </c>
      <c r="N101" s="40"/>
      <c r="O101" s="40"/>
      <c r="P101" s="41"/>
      <c r="Q101" s="42" t="s">
        <v>35</v>
      </c>
    </row>
    <row r="102" customFormat="false" ht="23.85" hidden="false" customHeight="false" outlineLevel="0" collapsed="false">
      <c r="A102" s="43" t="s">
        <v>331</v>
      </c>
      <c r="B102" s="38" t="s">
        <v>15</v>
      </c>
      <c r="C102" s="39" t="s">
        <v>283</v>
      </c>
      <c r="D102" s="38" t="s">
        <v>299</v>
      </c>
      <c r="E102" s="38" t="s">
        <v>285</v>
      </c>
      <c r="F102" s="38" t="s">
        <v>332</v>
      </c>
      <c r="G102" s="39" t="s">
        <v>283</v>
      </c>
      <c r="H102" s="39" t="s">
        <v>62</v>
      </c>
      <c r="I102" s="38" t="s">
        <v>287</v>
      </c>
      <c r="J102" s="39" t="s">
        <v>288</v>
      </c>
      <c r="K102" s="39" t="s">
        <v>62</v>
      </c>
      <c r="L102" s="38" t="s">
        <v>333</v>
      </c>
      <c r="M102" s="38" t="s">
        <v>309</v>
      </c>
      <c r="N102" s="40"/>
      <c r="O102" s="40"/>
      <c r="P102" s="41"/>
      <c r="Q102" s="42" t="s">
        <v>35</v>
      </c>
    </row>
    <row r="103" customFormat="false" ht="35.05" hidden="false" customHeight="false" outlineLevel="0" collapsed="false">
      <c r="A103" s="43" t="s">
        <v>334</v>
      </c>
      <c r="B103" s="38" t="s">
        <v>15</v>
      </c>
      <c r="C103" s="39" t="s">
        <v>283</v>
      </c>
      <c r="D103" s="38" t="s">
        <v>299</v>
      </c>
      <c r="E103" s="38" t="s">
        <v>285</v>
      </c>
      <c r="F103" s="38" t="s">
        <v>335</v>
      </c>
      <c r="G103" s="39" t="s">
        <v>283</v>
      </c>
      <c r="H103" s="39" t="s">
        <v>62</v>
      </c>
      <c r="I103" s="38" t="s">
        <v>287</v>
      </c>
      <c r="J103" s="39" t="s">
        <v>288</v>
      </c>
      <c r="K103" s="39" t="s">
        <v>62</v>
      </c>
      <c r="L103" s="38" t="s">
        <v>336</v>
      </c>
      <c r="M103" s="38" t="s">
        <v>309</v>
      </c>
      <c r="N103" s="40"/>
      <c r="O103" s="40"/>
      <c r="P103" s="41"/>
      <c r="Q103" s="42" t="s">
        <v>35</v>
      </c>
    </row>
    <row r="104" customFormat="false" ht="35.05" hidden="false" customHeight="false" outlineLevel="0" collapsed="false">
      <c r="A104" s="43" t="s">
        <v>337</v>
      </c>
      <c r="B104" s="38" t="s">
        <v>15</v>
      </c>
      <c r="C104" s="39" t="s">
        <v>283</v>
      </c>
      <c r="D104" s="38" t="s">
        <v>299</v>
      </c>
      <c r="E104" s="38" t="s">
        <v>285</v>
      </c>
      <c r="F104" s="38" t="s">
        <v>338</v>
      </c>
      <c r="G104" s="39" t="s">
        <v>283</v>
      </c>
      <c r="H104" s="39" t="s">
        <v>62</v>
      </c>
      <c r="I104" s="38" t="s">
        <v>287</v>
      </c>
      <c r="J104" s="39" t="s">
        <v>288</v>
      </c>
      <c r="K104" s="39" t="s">
        <v>62</v>
      </c>
      <c r="L104" s="38" t="s">
        <v>339</v>
      </c>
      <c r="M104" s="38" t="s">
        <v>309</v>
      </c>
      <c r="N104" s="40"/>
      <c r="O104" s="40"/>
      <c r="P104" s="41"/>
      <c r="Q104" s="42" t="s">
        <v>35</v>
      </c>
    </row>
    <row r="105" customFormat="false" ht="23.85" hidden="false" customHeight="false" outlineLevel="0" collapsed="false">
      <c r="A105" s="43" t="s">
        <v>340</v>
      </c>
      <c r="B105" s="38" t="s">
        <v>15</v>
      </c>
      <c r="C105" s="39" t="s">
        <v>283</v>
      </c>
      <c r="D105" s="38" t="s">
        <v>299</v>
      </c>
      <c r="E105" s="38" t="s">
        <v>285</v>
      </c>
      <c r="F105" s="38" t="s">
        <v>341</v>
      </c>
      <c r="G105" s="39" t="s">
        <v>283</v>
      </c>
      <c r="H105" s="39" t="s">
        <v>62</v>
      </c>
      <c r="I105" s="38" t="s">
        <v>287</v>
      </c>
      <c r="J105" s="39" t="s">
        <v>288</v>
      </c>
      <c r="K105" s="39" t="s">
        <v>62</v>
      </c>
      <c r="L105" s="38" t="s">
        <v>342</v>
      </c>
      <c r="M105" s="38" t="s">
        <v>309</v>
      </c>
      <c r="N105" s="40"/>
      <c r="O105" s="40"/>
      <c r="P105" s="41"/>
      <c r="Q105" s="42" t="s">
        <v>35</v>
      </c>
    </row>
    <row r="106" customFormat="false" ht="35.05" hidden="false" customHeight="false" outlineLevel="0" collapsed="false">
      <c r="A106" s="43" t="s">
        <v>343</v>
      </c>
      <c r="B106" s="38" t="s">
        <v>15</v>
      </c>
      <c r="C106" s="39" t="s">
        <v>283</v>
      </c>
      <c r="D106" s="38" t="s">
        <v>299</v>
      </c>
      <c r="E106" s="38" t="s">
        <v>285</v>
      </c>
      <c r="F106" s="38" t="s">
        <v>344</v>
      </c>
      <c r="G106" s="39" t="s">
        <v>283</v>
      </c>
      <c r="H106" s="39" t="s">
        <v>62</v>
      </c>
      <c r="I106" s="38" t="s">
        <v>287</v>
      </c>
      <c r="J106" s="39" t="s">
        <v>288</v>
      </c>
      <c r="K106" s="39" t="s">
        <v>62</v>
      </c>
      <c r="L106" s="38" t="s">
        <v>345</v>
      </c>
      <c r="M106" s="38" t="s">
        <v>309</v>
      </c>
      <c r="N106" s="40"/>
      <c r="O106" s="40"/>
      <c r="P106" s="41"/>
      <c r="Q106" s="42" t="s">
        <v>35</v>
      </c>
    </row>
    <row r="107" customFormat="false" ht="35.05" hidden="false" customHeight="false" outlineLevel="0" collapsed="false">
      <c r="A107" s="43" t="s">
        <v>346</v>
      </c>
      <c r="B107" s="38" t="s">
        <v>23</v>
      </c>
      <c r="C107" s="39" t="s">
        <v>283</v>
      </c>
      <c r="D107" s="38" t="s">
        <v>23</v>
      </c>
      <c r="E107" s="38" t="s">
        <v>285</v>
      </c>
      <c r="F107" s="38" t="s">
        <v>347</v>
      </c>
      <c r="G107" s="39" t="s">
        <v>283</v>
      </c>
      <c r="H107" s="39" t="s">
        <v>62</v>
      </c>
      <c r="I107" s="38" t="s">
        <v>287</v>
      </c>
      <c r="J107" s="39" t="s">
        <v>348</v>
      </c>
      <c r="K107" s="39" t="s">
        <v>62</v>
      </c>
      <c r="L107" s="38" t="s">
        <v>349</v>
      </c>
      <c r="M107" s="38" t="s">
        <v>350</v>
      </c>
      <c r="N107" s="40"/>
      <c r="O107" s="40"/>
      <c r="P107" s="41"/>
      <c r="Q107" s="42" t="s">
        <v>35</v>
      </c>
    </row>
    <row r="108" customFormat="false" ht="35.05" hidden="false" customHeight="false" outlineLevel="0" collapsed="false">
      <c r="A108" s="43" t="s">
        <v>351</v>
      </c>
      <c r="B108" s="38" t="s">
        <v>23</v>
      </c>
      <c r="C108" s="39" t="s">
        <v>283</v>
      </c>
      <c r="D108" s="38" t="s">
        <v>23</v>
      </c>
      <c r="E108" s="38" t="s">
        <v>285</v>
      </c>
      <c r="F108" s="38" t="s">
        <v>352</v>
      </c>
      <c r="G108" s="39" t="s">
        <v>283</v>
      </c>
      <c r="H108" s="39" t="s">
        <v>62</v>
      </c>
      <c r="I108" s="38" t="s">
        <v>301</v>
      </c>
      <c r="J108" s="39" t="s">
        <v>288</v>
      </c>
      <c r="K108" s="39" t="s">
        <v>62</v>
      </c>
      <c r="L108" s="38" t="s">
        <v>353</v>
      </c>
      <c r="M108" s="38" t="s">
        <v>354</v>
      </c>
      <c r="N108" s="40"/>
      <c r="O108" s="40"/>
      <c r="P108" s="41"/>
      <c r="Q108" s="42" t="s">
        <v>35</v>
      </c>
    </row>
    <row r="109" customFormat="false" ht="35.05" hidden="false" customHeight="false" outlineLevel="0" collapsed="false">
      <c r="A109" s="43" t="s">
        <v>355</v>
      </c>
      <c r="B109" s="38" t="s">
        <v>23</v>
      </c>
      <c r="C109" s="39" t="s">
        <v>283</v>
      </c>
      <c r="D109" s="38" t="s">
        <v>23</v>
      </c>
      <c r="E109" s="38" t="s">
        <v>285</v>
      </c>
      <c r="F109" s="38" t="s">
        <v>356</v>
      </c>
      <c r="G109" s="39" t="s">
        <v>283</v>
      </c>
      <c r="H109" s="39" t="s">
        <v>62</v>
      </c>
      <c r="I109" s="38" t="s">
        <v>287</v>
      </c>
      <c r="J109" s="39" t="s">
        <v>288</v>
      </c>
      <c r="K109" s="39" t="s">
        <v>62</v>
      </c>
      <c r="L109" s="38" t="s">
        <v>357</v>
      </c>
      <c r="M109" s="38" t="s">
        <v>290</v>
      </c>
      <c r="N109" s="40"/>
      <c r="O109" s="40"/>
      <c r="P109" s="41"/>
      <c r="Q109" s="42" t="s">
        <v>35</v>
      </c>
    </row>
    <row r="110" customFormat="false" ht="35.05" hidden="false" customHeight="false" outlineLevel="0" collapsed="false">
      <c r="A110" s="43" t="s">
        <v>358</v>
      </c>
      <c r="B110" s="38" t="s">
        <v>23</v>
      </c>
      <c r="C110" s="39" t="s">
        <v>283</v>
      </c>
      <c r="D110" s="38" t="s">
        <v>23</v>
      </c>
      <c r="E110" s="38" t="s">
        <v>285</v>
      </c>
      <c r="F110" s="38" t="s">
        <v>359</v>
      </c>
      <c r="G110" s="39" t="s">
        <v>283</v>
      </c>
      <c r="H110" s="39" t="s">
        <v>62</v>
      </c>
      <c r="I110" s="38" t="s">
        <v>293</v>
      </c>
      <c r="J110" s="39" t="s">
        <v>288</v>
      </c>
      <c r="K110" s="39" t="s">
        <v>62</v>
      </c>
      <c r="L110" s="38" t="s">
        <v>360</v>
      </c>
      <c r="M110" s="38" t="s">
        <v>309</v>
      </c>
      <c r="N110" s="40"/>
      <c r="O110" s="40"/>
      <c r="P110" s="41"/>
      <c r="Q110" s="42" t="s">
        <v>35</v>
      </c>
    </row>
    <row r="111" customFormat="false" ht="46.25" hidden="false" customHeight="false" outlineLevel="0" collapsed="false">
      <c r="A111" s="43" t="s">
        <v>361</v>
      </c>
      <c r="B111" s="38" t="s">
        <v>50</v>
      </c>
      <c r="C111" s="39" t="s">
        <v>283</v>
      </c>
      <c r="D111" s="38" t="s">
        <v>50</v>
      </c>
      <c r="E111" s="38" t="s">
        <v>285</v>
      </c>
      <c r="F111" s="38" t="s">
        <v>362</v>
      </c>
      <c r="G111" s="39" t="s">
        <v>283</v>
      </c>
      <c r="H111" s="39" t="s">
        <v>62</v>
      </c>
      <c r="I111" s="38" t="s">
        <v>287</v>
      </c>
      <c r="J111" s="39" t="s">
        <v>322</v>
      </c>
      <c r="K111" s="39" t="s">
        <v>247</v>
      </c>
      <c r="L111" s="38" t="s">
        <v>363</v>
      </c>
      <c r="M111" s="38" t="s">
        <v>364</v>
      </c>
      <c r="N111" s="40"/>
      <c r="O111" s="40"/>
      <c r="P111" s="41"/>
      <c r="Q111" s="42" t="s">
        <v>35</v>
      </c>
    </row>
    <row r="112" customFormat="false" ht="35.05" hidden="false" customHeight="false" outlineLevel="0" collapsed="false">
      <c r="A112" s="43" t="s">
        <v>365</v>
      </c>
      <c r="B112" s="38" t="s">
        <v>50</v>
      </c>
      <c r="C112" s="39" t="s">
        <v>283</v>
      </c>
      <c r="D112" s="38" t="s">
        <v>50</v>
      </c>
      <c r="E112" s="38" t="s">
        <v>285</v>
      </c>
      <c r="F112" s="38" t="s">
        <v>366</v>
      </c>
      <c r="G112" s="39" t="s">
        <v>283</v>
      </c>
      <c r="H112" s="39" t="s">
        <v>62</v>
      </c>
      <c r="I112" s="38" t="s">
        <v>287</v>
      </c>
      <c r="J112" s="39" t="s">
        <v>322</v>
      </c>
      <c r="K112" s="39" t="s">
        <v>247</v>
      </c>
      <c r="L112" s="38" t="s">
        <v>367</v>
      </c>
      <c r="M112" s="38" t="s">
        <v>364</v>
      </c>
      <c r="N112" s="40"/>
      <c r="O112" s="40"/>
      <c r="P112" s="41"/>
      <c r="Q112" s="42" t="s">
        <v>35</v>
      </c>
    </row>
  </sheetData>
  <conditionalFormatting sqref="C5:C112">
    <cfRule type="expression" priority="2" aboveAverage="0" equalAverage="0" bottom="0" percent="0" rank="0" text="" dxfId="13">
      <formula>$C5="Parcial"</formula>
    </cfRule>
    <cfRule type="expression" priority="3" aboveAverage="0" equalAverage="0" bottom="0" percent="0" rank="0" text="" dxfId="14">
      <formula>$C5="Não atende"</formula>
    </cfRule>
    <cfRule type="expression" priority="4" aboveAverage="0" equalAverage="0" bottom="0" percent="0" rank="0" text="" dxfId="15">
      <formula>$C5="Novo"</formula>
    </cfRule>
  </conditionalFormatting>
  <conditionalFormatting sqref="Q5:Q112">
    <cfRule type="expression" priority="5" aboveAverage="0" equalAverage="0" bottom="0" percent="0" rank="0" text="" dxfId="16">
      <formula>$Q5="Validado"</formula>
    </cfRule>
    <cfRule type="expression" priority="6" aboveAverage="0" equalAverage="0" bottom="0" percent="0" rank="0" text="" dxfId="17">
      <formula>$Q5="Em análise"</formula>
    </cfRule>
    <cfRule type="expression" priority="7" aboveAverage="0" equalAverage="0" bottom="0" percent="0" rank="0" text="" dxfId="18">
      <formula>$Q5="Descartado"</formula>
    </cfRule>
  </conditionalFormatting>
  <dataValidations count="2">
    <dataValidation allowBlank="true" error="Escolha um status da lista." errorStyle="stop" operator="between" prompt="Pendente, Em análise, Validado ou Descartado" showDropDown="false" showErrorMessage="false" showInputMessage="false" sqref="Q5:Q112" type="list">
      <formula1>"Pendente,Em análise,Validado,Descartado"</formula1>
      <formula2>0</formula2>
    </dataValidation>
    <dataValidation allowBlank="true" error="Digite uma data (dd/mm/aaaa)." errorStyle="stop" operator="greaterThan" showDropDown="false" showErrorMessage="false" showInputMessage="false" sqref="P5:P112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6207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368</v>
      </c>
    </row>
    <row r="3" customFormat="false" ht="15" hidden="false" customHeight="false" outlineLevel="0" collapsed="false">
      <c r="A3" s="44" t="s">
        <v>369</v>
      </c>
      <c r="B3" s="45" t="s">
        <v>370</v>
      </c>
    </row>
    <row r="4" customFormat="false" ht="15" hidden="false" customHeight="false" outlineLevel="0" collapsed="false">
      <c r="A4" s="46" t="s">
        <v>371</v>
      </c>
      <c r="B4" s="45" t="s">
        <v>372</v>
      </c>
    </row>
    <row r="5" customFormat="false" ht="15" hidden="false" customHeight="false" outlineLevel="0" collapsed="false">
      <c r="A5" s="46" t="s">
        <v>32</v>
      </c>
      <c r="B5" s="45" t="s">
        <v>373</v>
      </c>
    </row>
    <row r="6" customFormat="false" ht="15" hidden="false" customHeight="false" outlineLevel="0" collapsed="false">
      <c r="A6" s="46" t="s">
        <v>374</v>
      </c>
      <c r="B6" s="45" t="s">
        <v>375</v>
      </c>
    </row>
    <row r="7" customFormat="false" ht="15" hidden="false" customHeight="false" outlineLevel="0" collapsed="false">
      <c r="A7" s="46" t="s">
        <v>57</v>
      </c>
      <c r="B7" s="45" t="s">
        <v>376</v>
      </c>
    </row>
    <row r="8" customFormat="false" ht="23.85" hidden="false" customHeight="false" outlineLevel="0" collapsed="false">
      <c r="A8" s="46" t="s">
        <v>209</v>
      </c>
      <c r="B8" s="45" t="s">
        <v>377</v>
      </c>
    </row>
    <row r="9" customFormat="false" ht="23.85" hidden="false" customHeight="false" outlineLevel="0" collapsed="false">
      <c r="A9" s="46" t="s">
        <v>283</v>
      </c>
      <c r="B9" s="45" t="s">
        <v>378</v>
      </c>
    </row>
    <row r="10" customFormat="false" ht="23.85" hidden="false" customHeight="false" outlineLevel="0" collapsed="false">
      <c r="A10" s="46" t="s">
        <v>379</v>
      </c>
      <c r="B10" s="45" t="s">
        <v>380</v>
      </c>
    </row>
    <row r="11" customFormat="false" ht="23.85" hidden="false" customHeight="false" outlineLevel="0" collapsed="false">
      <c r="A11" s="46" t="s">
        <v>381</v>
      </c>
      <c r="B11" s="45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2026-10-16T11:50:16Z</dcterms:created>
  <dc:creator>openpyxl</dc:creator>
  <dc:description/>
  <dc:language>en-US</dc:language>
  <cp:lastModifiedBy/>
  <dcterms:modified xsi:type="dcterms:W3CDTF">2026-10-16T11:50:17Z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